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585" documentId="11_92485C45C1F39E42E268565A893E8C18510380CC" xr6:coauthVersionLast="47" xr6:coauthVersionMax="47" xr10:uidLastSave="{F85758FC-193C-4007-A30C-BEC413BDD158}"/>
  <bookViews>
    <workbookView xWindow="240" yWindow="105" windowWidth="14805" windowHeight="8010" firstSheet="2" activeTab="3" xr2:uid="{00000000-000D-0000-FFFF-FFFF00000000}"/>
  </bookViews>
  <sheets>
    <sheet name="Planilha1" sheetId="1" r:id="rId1"/>
    <sheet name="Planilha2" sheetId="2" r:id="rId2"/>
    <sheet name="formulas basicas" sheetId="3" r:id="rId3"/>
    <sheet name="funções" sheetId="4" r:id="rId4"/>
  </sheets>
  <definedNames>
    <definedName name="estado">funções!$C:$C</definedName>
    <definedName name="municipios">funções!$B:$B</definedName>
    <definedName name="população">funções!$D:$D</definedName>
    <definedName name="ranking">funções!$A:$A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4" l="1"/>
  <c r="I16" i="4"/>
  <c r="I13" i="4"/>
  <c r="J13" i="4"/>
  <c r="J10" i="4"/>
  <c r="I10" i="4"/>
  <c r="J7" i="4"/>
  <c r="I7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M3" i="4"/>
  <c r="I3" i="4"/>
  <c r="L3" i="4"/>
  <c r="K3" i="4"/>
  <c r="J3" i="4"/>
  <c r="D10" i="3"/>
  <c r="D12" i="3"/>
  <c r="D13" i="3"/>
  <c r="D15" i="3" s="1"/>
  <c r="D11" i="3"/>
  <c r="C7" i="3"/>
  <c r="C6" i="3"/>
  <c r="C5" i="3"/>
  <c r="C4" i="3"/>
  <c r="C3" i="3"/>
  <c r="C2" i="3"/>
  <c r="C1" i="3"/>
</calcChain>
</file>

<file path=xl/sharedStrings.xml><?xml version="1.0" encoding="utf-8"?>
<sst xmlns="http://schemas.openxmlformats.org/spreadsheetml/2006/main" count="180" uniqueCount="114">
  <si>
    <t>nome</t>
  </si>
  <si>
    <t>idade</t>
  </si>
  <si>
    <t>sexo</t>
  </si>
  <si>
    <t>ana</t>
  </si>
  <si>
    <t>F</t>
  </si>
  <si>
    <t>claudio</t>
  </si>
  <si>
    <t>M</t>
  </si>
  <si>
    <t>julia</t>
  </si>
  <si>
    <t>maria</t>
  </si>
  <si>
    <t>mario</t>
  </si>
  <si>
    <t>pedro</t>
  </si>
  <si>
    <t>tavin</t>
  </si>
  <si>
    <t>levantamento populacional</t>
  </si>
  <si>
    <t>ranking</t>
  </si>
  <si>
    <t>municipios</t>
  </si>
  <si>
    <t>população</t>
  </si>
  <si>
    <t>São Paulo (SP)</t>
  </si>
  <si>
    <t>Rio de Janeiro (RJ)</t>
  </si>
  <si>
    <t xml:space="preserve">bity </t>
  </si>
  <si>
    <t>Brasília (DF)</t>
  </si>
  <si>
    <t>kilobyte</t>
  </si>
  <si>
    <t>Fortaleza (CE)</t>
  </si>
  <si>
    <t>megabyte</t>
  </si>
  <si>
    <t>Salvador (BA)</t>
  </si>
  <si>
    <t>gigabyte</t>
  </si>
  <si>
    <t>Belo Horizonte (MG)</t>
  </si>
  <si>
    <t>terabyte</t>
  </si>
  <si>
    <t>Manaus (AM)</t>
  </si>
  <si>
    <t>petabyte</t>
  </si>
  <si>
    <t>Curitiba (PR)</t>
  </si>
  <si>
    <t>exabyte</t>
  </si>
  <si>
    <t>Recife (PE)</t>
  </si>
  <si>
    <t>zetabyte</t>
  </si>
  <si>
    <t>Goiânia (GO)</t>
  </si>
  <si>
    <t>yottabyte</t>
  </si>
  <si>
    <t>Araguainha (MT)</t>
  </si>
  <si>
    <t>Borá (SP)</t>
  </si>
  <si>
    <t>Anhanguera (GO)</t>
  </si>
  <si>
    <t>Serra da Saudade (MG)</t>
  </si>
  <si>
    <t>adição</t>
  </si>
  <si>
    <t>7+3</t>
  </si>
  <si>
    <t>subtração</t>
  </si>
  <si>
    <t>7 menos 3</t>
  </si>
  <si>
    <t>inversão</t>
  </si>
  <si>
    <t>multiplicação</t>
  </si>
  <si>
    <t>4x3</t>
  </si>
  <si>
    <t>divisão</t>
  </si>
  <si>
    <t>8 dividido por 2</t>
  </si>
  <si>
    <t>exponenciação</t>
  </si>
  <si>
    <t>5²</t>
  </si>
  <si>
    <t>porcentagem</t>
  </si>
  <si>
    <t xml:space="preserve">nota 1 </t>
  </si>
  <si>
    <t xml:space="preserve">nota 2 </t>
  </si>
  <si>
    <t>média</t>
  </si>
  <si>
    <t>Ana</t>
  </si>
  <si>
    <t>Pedro</t>
  </si>
  <si>
    <t>Maria</t>
  </si>
  <si>
    <t>Claúdia</t>
  </si>
  <si>
    <t>estado</t>
  </si>
  <si>
    <t>status</t>
  </si>
  <si>
    <t>classificação</t>
  </si>
  <si>
    <t>total de população</t>
  </si>
  <si>
    <t>média populacional</t>
  </si>
  <si>
    <t>maior</t>
  </si>
  <si>
    <t>menor</t>
  </si>
  <si>
    <t>total de municipios</t>
  </si>
  <si>
    <t>São Paulo</t>
  </si>
  <si>
    <t>SP</t>
  </si>
  <si>
    <t>Rio de Janeiro</t>
  </si>
  <si>
    <t>RJ</t>
  </si>
  <si>
    <t>Guarulhos</t>
  </si>
  <si>
    <t>Campinas</t>
  </si>
  <si>
    <t>população rj</t>
  </si>
  <si>
    <t>população sp</t>
  </si>
  <si>
    <t>São Gonçalo</t>
  </si>
  <si>
    <t>Duque de Caxias</t>
  </si>
  <si>
    <t>Nova Iguaçu</t>
  </si>
  <si>
    <t>mun.rj</t>
  </si>
  <si>
    <t>mun.sp</t>
  </si>
  <si>
    <t>São Bernardo do Campo</t>
  </si>
  <si>
    <t>Sorocaba</t>
  </si>
  <si>
    <t>Santo André</t>
  </si>
  <si>
    <t>média pop. rj</t>
  </si>
  <si>
    <t>média pop. sp</t>
  </si>
  <si>
    <t>Osasco</t>
  </si>
  <si>
    <t>São José dos Campos</t>
  </si>
  <si>
    <t>Ribeirão Preto</t>
  </si>
  <si>
    <t>Niterói</t>
  </si>
  <si>
    <t>Campos dos Goytacazes</t>
  </si>
  <si>
    <t>Belford Roxo</t>
  </si>
  <si>
    <t>São José do Rio Preto</t>
  </si>
  <si>
    <t>Jundiaí</t>
  </si>
  <si>
    <t>Piracicaba</t>
  </si>
  <si>
    <t>Santos</t>
  </si>
  <si>
    <t>Bauru</t>
  </si>
  <si>
    <t>Franca</t>
  </si>
  <si>
    <t>Taubaté</t>
  </si>
  <si>
    <t>Petrópolis</t>
  </si>
  <si>
    <t>Volta Redonda</t>
  </si>
  <si>
    <t>Macaé</t>
  </si>
  <si>
    <t>Araraquara</t>
  </si>
  <si>
    <t>Itaboraí</t>
  </si>
  <si>
    <t>Marília</t>
  </si>
  <si>
    <t>Cabo Frio</t>
  </si>
  <si>
    <t>Presidente Prudente</t>
  </si>
  <si>
    <t>Maricá</t>
  </si>
  <si>
    <t>Angra dos Reis</t>
  </si>
  <si>
    <t>Nova Friburgo</t>
  </si>
  <si>
    <t>Teresópolis</t>
  </si>
  <si>
    <t>Barra Mansa</t>
  </si>
  <si>
    <t>Nilópolis</t>
  </si>
  <si>
    <t>Queimados</t>
  </si>
  <si>
    <t>Resende</t>
  </si>
  <si>
    <t>Barretos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</si>
</sst>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°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thin">
        <color theme="8"/>
      </right>
      <top style="thin">
        <color rgb="FF000000"/>
      </top>
      <bottom style="medium">
        <color theme="8"/>
      </bottom>
      <diagonal/>
    </border>
    <border>
      <left style="thin">
        <color rgb="FF000000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/>
    <xf numFmtId="0" fontId="2" fillId="3" borderId="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  <alignment horizontal="center"/>
    </dxf>
    <dxf>
      <alignment horizontal="center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/>
    </dxf>
    <dxf>
      <font>
        <b/>
        <i val="0"/>
        <color theme="5" tint="-0.249977111117893"/>
      </font>
      <fill>
        <patternFill patternType="solid">
          <bgColor theme="5" tint="0.39997558519241921"/>
        </patternFill>
      </fill>
    </dxf>
    <dxf>
      <font>
        <b/>
        <i val="0"/>
        <color rgb="FF0070C0"/>
      </font>
      <fill>
        <patternFill patternType="solid">
          <bgColor theme="4" tint="0.59999389629810485"/>
        </patternFill>
      </fill>
    </dxf>
    <dxf>
      <numFmt numFmtId="4" formatCode="#,##0.00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9AC8A-EE33-4556-8656-73384FDC949E}" name="Tabela1" displayName="Tabela1" ref="A1:C8" totalsRowShown="0" headerRowDxfId="11">
  <autoFilter ref="A1:C8" xr:uid="{4F09AC8A-EE33-4556-8656-73384FDC949E}"/>
  <sortState xmlns:xlrd2="http://schemas.microsoft.com/office/spreadsheetml/2017/richdata2" ref="A2:C8">
    <sortCondition ref="A1:A8"/>
  </sortState>
  <tableColumns count="3">
    <tableColumn id="1" xr3:uid="{BFAD4AB6-C386-461C-A937-900A8E7978D0}" name="nome"/>
    <tableColumn id="2" xr3:uid="{BEA633D2-1DED-46DE-B25D-AAFD08A8976F}" name="idade"/>
    <tableColumn id="3" xr3:uid="{D2A75CB4-B479-4D2F-8063-787EE041761F}" name="sexo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084BF0-8818-49CD-A359-A8A8B18BBEF5}" name="Tabela13" displayName="Tabela13" ref="E1:G8" totalsRowShown="0" headerRowDxfId="10">
  <autoFilter ref="E1:G8" xr:uid="{6C084BF0-8818-49CD-A359-A8A8B18BBEF5}"/>
  <sortState xmlns:xlrd2="http://schemas.microsoft.com/office/spreadsheetml/2017/richdata2" ref="E2:G8">
    <sortCondition ref="E1:E8"/>
  </sortState>
  <tableColumns count="3">
    <tableColumn id="1" xr3:uid="{4F23A47C-652D-44CA-81FF-95E20720D558}" name="nome"/>
    <tableColumn id="2" xr3:uid="{9AA20DB2-CCAF-41CF-A03A-5C2C485E01D6}" name="idade"/>
    <tableColumn id="3" xr3:uid="{B8BAA0D2-44C4-48B9-B6C2-93FEFEA5955E}" name="sexo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5860BE-9125-49C9-A3C1-6E46F6FBEDFF}" name="Tabela5" displayName="Tabela5" ref="B2:C16" totalsRowShown="0" headerRowDxfId="9" tableBorderDxfId="8">
  <autoFilter ref="B2:C16" xr:uid="{825860BE-9125-49C9-A3C1-6E46F6FBEDFF}"/>
  <sortState xmlns:xlrd2="http://schemas.microsoft.com/office/spreadsheetml/2017/richdata2" ref="B3:C16">
    <sortCondition descending="1" ref="C2:C16"/>
  </sortState>
  <tableColumns count="2">
    <tableColumn id="1" xr3:uid="{899420D8-1AA8-4583-9DF0-445E49E96035}" name="municipios"/>
    <tableColumn id="2" xr3:uid="{73AD2865-5C0F-40CE-A21A-22CDB2CCB2D5}" name="população" dataDxfId="7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396099-6E5A-4632-B236-F5EB44BC6C4D}" name="Tabela57" displayName="Tabela57" ref="B2:F42" totalsRowShown="0" headerRowDxfId="4" tableBorderDxfId="3">
  <autoFilter ref="B2:F42" xr:uid="{E8396099-6E5A-4632-B236-F5EB44BC6C4D}"/>
  <sortState xmlns:xlrd2="http://schemas.microsoft.com/office/spreadsheetml/2017/richdata2" ref="B3:D42">
    <sortCondition descending="1" ref="D2:D42"/>
  </sortState>
  <tableColumns count="5">
    <tableColumn id="1" xr3:uid="{1A7F492E-3E67-4D59-AC16-63CBFB4D035E}" name="municipios"/>
    <tableColumn id="2" xr3:uid="{9EC8BE5D-F22B-4C1D-8B7B-DC751608C078}" name="estado" dataDxfId="2"/>
    <tableColumn id="4" xr3:uid="{F9F4E1AF-8908-4B25-9DDF-13FC12946A11}" name="população"/>
    <tableColumn id="5" xr3:uid="{D81BE7BD-F5B3-4047-95DA-6036F6C214F3}" name="status" dataDxfId="1">
      <calculatedColumnFormula>IF(C3="sp","paulista","carioca")</calculatedColumnFormula>
    </tableColumn>
    <tableColumn id="6" xr3:uid="{EC0974E4-A438-4BC1-BC39-E368A0A6A191}" name="classificação" dataDxfId="0">
      <calculatedColumnFormula>IF(D3&gt;500000,"Grande","Pequeno")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G8"/>
  <sheetViews>
    <sheetView workbookViewId="0">
      <selection activeCell="I19" sqref="I19"/>
    </sheetView>
  </sheetViews>
  <sheetFormatPr defaultRowHeight="15"/>
  <cols>
    <col min="9" max="9" width="10.42578125" bestFit="1" customWidth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spans="1:7">
      <c r="A2" t="s">
        <v>3</v>
      </c>
      <c r="B2">
        <v>21</v>
      </c>
      <c r="C2" t="s">
        <v>4</v>
      </c>
      <c r="E2" t="s">
        <v>3</v>
      </c>
      <c r="F2">
        <v>21</v>
      </c>
      <c r="G2" t="s">
        <v>4</v>
      </c>
    </row>
    <row r="3" spans="1:7">
      <c r="A3" t="s">
        <v>5</v>
      </c>
      <c r="B3">
        <v>30</v>
      </c>
      <c r="C3" t="s">
        <v>6</v>
      </c>
      <c r="E3" t="s">
        <v>5</v>
      </c>
      <c r="F3">
        <v>30</v>
      </c>
      <c r="G3" t="s">
        <v>6</v>
      </c>
    </row>
    <row r="4" spans="1:7">
      <c r="A4" t="s">
        <v>7</v>
      </c>
      <c r="B4">
        <v>13</v>
      </c>
      <c r="C4" t="s">
        <v>4</v>
      </c>
      <c r="E4" t="s">
        <v>7</v>
      </c>
      <c r="F4">
        <v>13</v>
      </c>
      <c r="G4" t="s">
        <v>4</v>
      </c>
    </row>
    <row r="5" spans="1:7">
      <c r="A5" t="s">
        <v>8</v>
      </c>
      <c r="B5">
        <v>34</v>
      </c>
      <c r="C5" t="s">
        <v>4</v>
      </c>
      <c r="E5" t="s">
        <v>8</v>
      </c>
      <c r="F5">
        <v>34</v>
      </c>
      <c r="G5" t="s">
        <v>4</v>
      </c>
    </row>
    <row r="6" spans="1:7">
      <c r="A6" t="s">
        <v>9</v>
      </c>
      <c r="B6">
        <v>22</v>
      </c>
      <c r="C6" t="s">
        <v>6</v>
      </c>
      <c r="E6" t="s">
        <v>9</v>
      </c>
      <c r="F6">
        <v>22</v>
      </c>
      <c r="G6" t="s">
        <v>6</v>
      </c>
    </row>
    <row r="7" spans="1:7">
      <c r="A7" t="s">
        <v>10</v>
      </c>
      <c r="B7">
        <v>16</v>
      </c>
      <c r="C7" t="s">
        <v>6</v>
      </c>
      <c r="E7" t="s">
        <v>10</v>
      </c>
      <c r="F7">
        <v>16</v>
      </c>
      <c r="G7" t="s">
        <v>6</v>
      </c>
    </row>
    <row r="8" spans="1:7">
      <c r="A8" t="s">
        <v>11</v>
      </c>
      <c r="B8">
        <v>45</v>
      </c>
      <c r="C8" t="s">
        <v>6</v>
      </c>
      <c r="E8" t="s">
        <v>11</v>
      </c>
      <c r="F8">
        <v>45</v>
      </c>
      <c r="G8" t="s">
        <v>6</v>
      </c>
    </row>
  </sheetData>
  <pageMargins left="0.7" right="0.7" top="0.75" bottom="0.75" header="0.3" footer="0.3"/>
  <pageSetup fitToHeight="0" orientation="portrait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E7A2-079B-447B-9F8B-24B1B8588A85}">
  <sheetPr>
    <tabColor theme="4"/>
  </sheetPr>
  <dimension ref="A1:G16"/>
  <sheetViews>
    <sheetView workbookViewId="0">
      <selection activeCell="B19" sqref="B19"/>
    </sheetView>
  </sheetViews>
  <sheetFormatPr defaultRowHeight="15"/>
  <cols>
    <col min="2" max="2" width="24.7109375" bestFit="1" customWidth="1"/>
    <col min="3" max="3" width="14.85546875" bestFit="1" customWidth="1"/>
    <col min="4" max="4" width="0.28515625" customWidth="1"/>
    <col min="5" max="5" width="9.5703125" customWidth="1"/>
    <col min="7" max="7" width="9.5703125" bestFit="1" customWidth="1"/>
    <col min="9" max="9" width="9.5703125" bestFit="1" customWidth="1"/>
  </cols>
  <sheetData>
    <row r="1" spans="1:7" ht="21">
      <c r="A1" s="13" t="s">
        <v>12</v>
      </c>
      <c r="B1" s="14"/>
      <c r="C1" s="14"/>
      <c r="D1" s="6"/>
    </row>
    <row r="2" spans="1:7">
      <c r="A2" s="7" t="s">
        <v>13</v>
      </c>
      <c r="B2" s="8" t="s">
        <v>14</v>
      </c>
      <c r="C2" s="8" t="s">
        <v>15</v>
      </c>
    </row>
    <row r="3" spans="1:7">
      <c r="A3" s="9">
        <v>1</v>
      </c>
      <c r="B3" t="s">
        <v>16</v>
      </c>
      <c r="C3" s="4">
        <v>11895578</v>
      </c>
    </row>
    <row r="4" spans="1:7">
      <c r="A4" s="9">
        <v>2</v>
      </c>
      <c r="B4" t="s">
        <v>17</v>
      </c>
      <c r="C4" s="4">
        <v>6729894</v>
      </c>
      <c r="G4" t="s">
        <v>18</v>
      </c>
    </row>
    <row r="5" spans="1:7">
      <c r="A5" s="9">
        <v>3</v>
      </c>
      <c r="B5" t="s">
        <v>19</v>
      </c>
      <c r="C5" s="4">
        <v>2982818</v>
      </c>
      <c r="G5" s="2" t="s">
        <v>20</v>
      </c>
    </row>
    <row r="6" spans="1:7">
      <c r="A6" s="9">
        <v>4</v>
      </c>
      <c r="B6" t="s">
        <v>21</v>
      </c>
      <c r="C6" s="4">
        <v>2574412</v>
      </c>
      <c r="G6" t="s">
        <v>22</v>
      </c>
    </row>
    <row r="7" spans="1:7">
      <c r="A7" s="9">
        <v>5</v>
      </c>
      <c r="B7" t="s">
        <v>23</v>
      </c>
      <c r="C7" s="4">
        <v>2568928</v>
      </c>
      <c r="G7" s="2" t="s">
        <v>24</v>
      </c>
    </row>
    <row r="8" spans="1:7">
      <c r="A8" s="9">
        <v>6</v>
      </c>
      <c r="B8" t="s">
        <v>25</v>
      </c>
      <c r="C8" s="4">
        <v>2416339</v>
      </c>
      <c r="G8" t="s">
        <v>26</v>
      </c>
    </row>
    <row r="9" spans="1:7">
      <c r="A9" s="9">
        <v>7</v>
      </c>
      <c r="B9" t="s">
        <v>27</v>
      </c>
      <c r="C9" s="4">
        <v>2279686</v>
      </c>
      <c r="G9" s="2" t="s">
        <v>28</v>
      </c>
    </row>
    <row r="10" spans="1:7">
      <c r="A10" s="9">
        <v>8</v>
      </c>
      <c r="B10" t="s">
        <v>29</v>
      </c>
      <c r="C10" s="4">
        <v>1829225</v>
      </c>
      <c r="G10" t="s">
        <v>30</v>
      </c>
    </row>
    <row r="11" spans="1:7">
      <c r="A11" s="9">
        <v>9</v>
      </c>
      <c r="B11" t="s">
        <v>31</v>
      </c>
      <c r="C11" s="4">
        <v>1587707</v>
      </c>
      <c r="G11" t="s">
        <v>32</v>
      </c>
    </row>
    <row r="12" spans="1:7">
      <c r="A12" s="9">
        <v>10</v>
      </c>
      <c r="B12" t="s">
        <v>33</v>
      </c>
      <c r="C12" s="4">
        <v>1494599</v>
      </c>
      <c r="G12" t="s">
        <v>34</v>
      </c>
    </row>
    <row r="13" spans="1:7">
      <c r="A13" s="9">
        <v>11</v>
      </c>
      <c r="B13" t="s">
        <v>35</v>
      </c>
      <c r="C13" s="4">
        <v>1006</v>
      </c>
    </row>
    <row r="14" spans="1:7">
      <c r="A14" s="9">
        <v>12</v>
      </c>
      <c r="B14" t="s">
        <v>36</v>
      </c>
      <c r="C14" s="4">
        <v>928</v>
      </c>
    </row>
    <row r="15" spans="1:7">
      <c r="A15" s="9">
        <v>13</v>
      </c>
      <c r="B15" t="s">
        <v>37</v>
      </c>
      <c r="C15" s="4">
        <v>921</v>
      </c>
    </row>
    <row r="16" spans="1:7">
      <c r="A16" s="9">
        <v>14</v>
      </c>
      <c r="B16" t="s">
        <v>38</v>
      </c>
      <c r="C16" s="4">
        <v>854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009B-7376-4FD9-A37B-E51F6623F83D}">
  <sheetPr>
    <tabColor rgb="FFFF0000"/>
  </sheetPr>
  <dimension ref="A1:D15"/>
  <sheetViews>
    <sheetView workbookViewId="0">
      <selection activeCell="J11" sqref="J11"/>
    </sheetView>
  </sheetViews>
  <sheetFormatPr defaultRowHeight="15"/>
  <cols>
    <col min="1" max="1" width="13.85546875" bestFit="1" customWidth="1"/>
    <col min="2" max="2" width="14.42578125" bestFit="1" customWidth="1"/>
  </cols>
  <sheetData>
    <row r="1" spans="1:4">
      <c r="A1" t="s">
        <v>39</v>
      </c>
      <c r="B1" s="5" t="s">
        <v>40</v>
      </c>
      <c r="C1">
        <f>7+3</f>
        <v>10</v>
      </c>
    </row>
    <row r="2" spans="1:4">
      <c r="A2" t="s">
        <v>41</v>
      </c>
      <c r="B2" s="10" t="s">
        <v>42</v>
      </c>
      <c r="C2">
        <f>7-3</f>
        <v>4</v>
      </c>
    </row>
    <row r="3" spans="1:4">
      <c r="A3" t="s">
        <v>43</v>
      </c>
      <c r="B3" s="5">
        <v>-8</v>
      </c>
      <c r="C3">
        <f>-8</f>
        <v>-8</v>
      </c>
    </row>
    <row r="4" spans="1:4">
      <c r="A4" t="s">
        <v>44</v>
      </c>
      <c r="B4" s="5" t="s">
        <v>45</v>
      </c>
      <c r="C4">
        <f>4*3</f>
        <v>12</v>
      </c>
    </row>
    <row r="5" spans="1:4">
      <c r="A5" t="s">
        <v>46</v>
      </c>
      <c r="B5" s="10" t="s">
        <v>47</v>
      </c>
      <c r="C5">
        <f>8/2</f>
        <v>4</v>
      </c>
    </row>
    <row r="6" spans="1:4">
      <c r="A6" t="s">
        <v>48</v>
      </c>
      <c r="B6" s="5" t="s">
        <v>49</v>
      </c>
      <c r="C6">
        <f>5^2</f>
        <v>25</v>
      </c>
    </row>
    <row r="7" spans="1:4">
      <c r="A7" t="s">
        <v>50</v>
      </c>
      <c r="B7" s="11">
        <v>0.2</v>
      </c>
      <c r="C7">
        <f>20%</f>
        <v>0.2</v>
      </c>
    </row>
    <row r="9" spans="1:4">
      <c r="A9" t="s">
        <v>0</v>
      </c>
      <c r="B9" t="s">
        <v>51</v>
      </c>
      <c r="C9" t="s">
        <v>52</v>
      </c>
      <c r="D9" t="s">
        <v>53</v>
      </c>
    </row>
    <row r="10" spans="1:4">
      <c r="A10" t="s">
        <v>54</v>
      </c>
      <c r="B10" s="12">
        <v>9.5</v>
      </c>
      <c r="C10" s="12">
        <v>8</v>
      </c>
      <c r="D10" s="12">
        <f>(B10+C10)/2</f>
        <v>8.75</v>
      </c>
    </row>
    <row r="11" spans="1:4">
      <c r="A11" t="s">
        <v>55</v>
      </c>
      <c r="B11" s="12">
        <v>8.5</v>
      </c>
      <c r="C11" s="12">
        <v>4</v>
      </c>
      <c r="D11" s="12">
        <f>(B11+C11)/2</f>
        <v>6.25</v>
      </c>
    </row>
    <row r="12" spans="1:4">
      <c r="A12" t="s">
        <v>56</v>
      </c>
      <c r="B12" s="12">
        <v>5</v>
      </c>
      <c r="C12" s="12">
        <v>9.5</v>
      </c>
      <c r="D12" s="12">
        <f>(B12+C12)/2</f>
        <v>7.25</v>
      </c>
    </row>
    <row r="13" spans="1:4">
      <c r="A13" t="s">
        <v>57</v>
      </c>
      <c r="B13" s="12">
        <v>8.5</v>
      </c>
      <c r="C13" s="12">
        <v>5.5</v>
      </c>
      <c r="D13" s="12">
        <f>(B13+C13)/2</f>
        <v>7</v>
      </c>
    </row>
    <row r="15" spans="1:4">
      <c r="C15" t="s">
        <v>53</v>
      </c>
      <c r="D15" s="12">
        <f>(D10+D11+D12+D13)/4</f>
        <v>7.3125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20DF-04F0-415F-9349-0C588C566E6C}">
  <sheetPr>
    <tabColor rgb="FFFFFF00"/>
  </sheetPr>
  <dimension ref="A1:M42"/>
  <sheetViews>
    <sheetView tabSelected="1" workbookViewId="0">
      <selection activeCell="H18" sqref="H18"/>
    </sheetView>
  </sheetViews>
  <sheetFormatPr defaultRowHeight="15"/>
  <cols>
    <col min="2" max="2" width="22" bestFit="1" customWidth="1"/>
    <col min="3" max="3" width="25.85546875" customWidth="1"/>
    <col min="4" max="4" width="17.5703125" bestFit="1" customWidth="1"/>
    <col min="5" max="5" width="17" bestFit="1" customWidth="1"/>
    <col min="6" max="6" width="18" bestFit="1" customWidth="1"/>
    <col min="7" max="7" width="18.42578125" bestFit="1" customWidth="1"/>
    <col min="9" max="9" width="27.42578125" customWidth="1"/>
    <col min="10" max="10" width="28.5703125" customWidth="1"/>
    <col min="11" max="11" width="17.140625" bestFit="1" customWidth="1"/>
    <col min="12" max="12" width="10.140625" bestFit="1" customWidth="1"/>
    <col min="13" max="13" width="17.5703125" bestFit="1" customWidth="1"/>
  </cols>
  <sheetData>
    <row r="1" spans="1:13" ht="21">
      <c r="A1" s="13" t="s">
        <v>12</v>
      </c>
      <c r="B1" s="14"/>
      <c r="C1" s="14"/>
    </row>
    <row r="2" spans="1:13">
      <c r="A2" s="7" t="s">
        <v>13</v>
      </c>
      <c r="B2" s="8" t="s">
        <v>14</v>
      </c>
      <c r="C2" s="8" t="s">
        <v>58</v>
      </c>
      <c r="D2" s="8" t="s">
        <v>15</v>
      </c>
      <c r="E2" s="8" t="s">
        <v>59</v>
      </c>
      <c r="F2" s="8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</row>
    <row r="3" spans="1:13">
      <c r="A3" s="15">
        <v>1</v>
      </c>
      <c r="B3" t="s">
        <v>66</v>
      </c>
      <c r="C3" s="5" t="s">
        <v>67</v>
      </c>
      <c r="D3" s="3">
        <v>11400000</v>
      </c>
      <c r="E3" s="5" t="str">
        <f t="shared" ref="E3:E42" si="0">IF(C3="sp","paulista","carioca")</f>
        <v>paulista</v>
      </c>
      <c r="F3" t="str">
        <f t="shared" ref="F3:F42" si="1">IF(D3&gt;500000,"Grande","Pequeno")</f>
        <v>Grande</v>
      </c>
      <c r="I3" s="3">
        <f>SUM(D3:D42)</f>
        <v>34945000</v>
      </c>
      <c r="J3" s="3">
        <f>AVERAGE(D3:D42)</f>
        <v>873625</v>
      </c>
      <c r="K3" s="3">
        <f>LARGE(D3:D42,1)</f>
        <v>11400000</v>
      </c>
      <c r="L3" s="3">
        <f>SMALL(D3:D42,1)</f>
        <v>123000</v>
      </c>
      <c r="M3">
        <f>COUNT(D3:D42)</f>
        <v>40</v>
      </c>
    </row>
    <row r="4" spans="1:13">
      <c r="A4" s="16">
        <v>2</v>
      </c>
      <c r="B4" t="s">
        <v>68</v>
      </c>
      <c r="C4" s="5" t="s">
        <v>69</v>
      </c>
      <c r="D4" s="3">
        <v>6200000</v>
      </c>
      <c r="E4" s="5" t="str">
        <f t="shared" si="0"/>
        <v>carioca</v>
      </c>
      <c r="F4" t="str">
        <f t="shared" si="1"/>
        <v>Grande</v>
      </c>
    </row>
    <row r="5" spans="1:13">
      <c r="A5" s="15">
        <v>3</v>
      </c>
      <c r="B5" t="s">
        <v>70</v>
      </c>
      <c r="C5" s="5" t="s">
        <v>67</v>
      </c>
      <c r="D5" s="3">
        <v>1200000</v>
      </c>
      <c r="E5" s="5" t="str">
        <f t="shared" si="0"/>
        <v>paulista</v>
      </c>
      <c r="F5" t="str">
        <f t="shared" si="1"/>
        <v>Grande</v>
      </c>
    </row>
    <row r="6" spans="1:13">
      <c r="A6" s="16">
        <v>4</v>
      </c>
      <c r="B6" t="s">
        <v>71</v>
      </c>
      <c r="C6" s="5" t="s">
        <v>67</v>
      </c>
      <c r="D6" s="3">
        <v>1100000</v>
      </c>
      <c r="E6" s="5" t="str">
        <f t="shared" si="0"/>
        <v>paulista</v>
      </c>
      <c r="F6" t="str">
        <f t="shared" si="1"/>
        <v>Grande</v>
      </c>
      <c r="I6" t="s">
        <v>72</v>
      </c>
      <c r="J6" t="s">
        <v>73</v>
      </c>
    </row>
    <row r="7" spans="1:13">
      <c r="A7" s="15">
        <v>5</v>
      </c>
      <c r="B7" t="s">
        <v>74</v>
      </c>
      <c r="C7" s="5" t="s">
        <v>69</v>
      </c>
      <c r="D7" s="3">
        <v>896000</v>
      </c>
      <c r="E7" s="5" t="str">
        <f t="shared" si="0"/>
        <v>carioca</v>
      </c>
      <c r="F7" t="str">
        <f t="shared" si="1"/>
        <v>Grande</v>
      </c>
      <c r="I7" s="3">
        <f>SUMIF(estado,"=rj",população)</f>
        <v>13041000</v>
      </c>
      <c r="J7" s="17">
        <f>SUMIF(estado,"=sp",população)</f>
        <v>21904000</v>
      </c>
    </row>
    <row r="8" spans="1:13">
      <c r="A8" s="16">
        <v>6</v>
      </c>
      <c r="B8" t="s">
        <v>75</v>
      </c>
      <c r="C8" s="5" t="s">
        <v>69</v>
      </c>
      <c r="D8" s="3">
        <v>855000</v>
      </c>
      <c r="E8" s="5" t="str">
        <f t="shared" si="0"/>
        <v>carioca</v>
      </c>
      <c r="F8" t="str">
        <f t="shared" si="1"/>
        <v>Grande</v>
      </c>
    </row>
    <row r="9" spans="1:13">
      <c r="A9" s="15">
        <v>7</v>
      </c>
      <c r="B9" t="s">
        <v>76</v>
      </c>
      <c r="C9" s="5" t="s">
        <v>69</v>
      </c>
      <c r="D9" s="3">
        <v>821000</v>
      </c>
      <c r="E9" s="5" t="str">
        <f t="shared" si="0"/>
        <v>carioca</v>
      </c>
      <c r="F9" t="str">
        <f t="shared" si="1"/>
        <v>Grande</v>
      </c>
      <c r="I9" t="s">
        <v>77</v>
      </c>
      <c r="J9" t="s">
        <v>78</v>
      </c>
    </row>
    <row r="10" spans="1:13">
      <c r="A10" s="16">
        <v>8</v>
      </c>
      <c r="B10" t="s">
        <v>79</v>
      </c>
      <c r="C10" s="5" t="s">
        <v>67</v>
      </c>
      <c r="D10" s="3">
        <v>811000</v>
      </c>
      <c r="E10" s="5" t="str">
        <f t="shared" si="0"/>
        <v>paulista</v>
      </c>
      <c r="F10" t="str">
        <f t="shared" si="1"/>
        <v>Grande</v>
      </c>
      <c r="I10">
        <f>COUNTIF(estado,"=rj")</f>
        <v>20</v>
      </c>
      <c r="J10">
        <f>COUNTIF(estado,"=sp")</f>
        <v>20</v>
      </c>
    </row>
    <row r="11" spans="1:13">
      <c r="A11" s="15">
        <v>9</v>
      </c>
      <c r="B11" t="s">
        <v>80</v>
      </c>
      <c r="C11" s="5" t="s">
        <v>67</v>
      </c>
      <c r="D11" s="3">
        <v>757000</v>
      </c>
      <c r="E11" s="5" t="str">
        <f t="shared" si="0"/>
        <v>paulista</v>
      </c>
      <c r="F11" t="str">
        <f t="shared" si="1"/>
        <v>Grande</v>
      </c>
    </row>
    <row r="12" spans="1:13">
      <c r="A12" s="16">
        <v>10</v>
      </c>
      <c r="B12" t="s">
        <v>81</v>
      </c>
      <c r="C12" s="5" t="s">
        <v>67</v>
      </c>
      <c r="D12" s="3">
        <v>748000</v>
      </c>
      <c r="E12" s="5" t="str">
        <f t="shared" si="0"/>
        <v>paulista</v>
      </c>
      <c r="F12" t="str">
        <f t="shared" si="1"/>
        <v>Grande</v>
      </c>
      <c r="I12" t="s">
        <v>82</v>
      </c>
      <c r="J12" t="s">
        <v>83</v>
      </c>
    </row>
    <row r="13" spans="1:13">
      <c r="A13" s="15">
        <v>11</v>
      </c>
      <c r="B13" t="s">
        <v>84</v>
      </c>
      <c r="C13" s="5" t="s">
        <v>67</v>
      </c>
      <c r="D13" s="3">
        <v>743000</v>
      </c>
      <c r="E13" s="5" t="str">
        <f t="shared" si="0"/>
        <v>paulista</v>
      </c>
      <c r="F13" t="str">
        <f t="shared" si="1"/>
        <v>Grande</v>
      </c>
      <c r="I13" s="4">
        <f>AVERAGEIF(estado,"=rj",população)</f>
        <v>652050</v>
      </c>
      <c r="J13" s="4">
        <f>AVERAGEIF(estado,"=sp",população)</f>
        <v>1095200</v>
      </c>
    </row>
    <row r="14" spans="1:13">
      <c r="A14" s="16">
        <v>12</v>
      </c>
      <c r="B14" t="s">
        <v>85</v>
      </c>
      <c r="C14" s="5" t="s">
        <v>67</v>
      </c>
      <c r="D14" s="3">
        <v>737000</v>
      </c>
      <c r="E14" s="5" t="str">
        <f t="shared" si="0"/>
        <v>paulista</v>
      </c>
      <c r="F14" t="str">
        <f t="shared" si="1"/>
        <v>Grande</v>
      </c>
    </row>
    <row r="15" spans="1:13">
      <c r="A15" s="15">
        <v>13</v>
      </c>
      <c r="B15" t="s">
        <v>86</v>
      </c>
      <c r="C15" s="5" t="s">
        <v>67</v>
      </c>
      <c r="D15" s="3">
        <v>698000</v>
      </c>
      <c r="E15" s="5" t="str">
        <f t="shared" si="0"/>
        <v>paulista</v>
      </c>
      <c r="F15" t="str">
        <f t="shared" si="1"/>
        <v>Grande</v>
      </c>
    </row>
    <row r="16" spans="1:13">
      <c r="A16" s="16">
        <v>14</v>
      </c>
      <c r="B16" t="s">
        <v>87</v>
      </c>
      <c r="C16" s="5" t="s">
        <v>69</v>
      </c>
      <c r="D16" s="3">
        <v>515000</v>
      </c>
      <c r="E16" s="5" t="str">
        <f t="shared" si="0"/>
        <v>carioca</v>
      </c>
      <c r="F16" t="str">
        <f t="shared" si="1"/>
        <v>Grande</v>
      </c>
      <c r="I16" s="17">
        <f>COUNTIFS(estado,"=sp",população,"&gt;500000")</f>
        <v>9</v>
      </c>
      <c r="J16">
        <f>COUNTIFS(estado,"=rj",população,"&gt;500000")</f>
        <v>7</v>
      </c>
    </row>
    <row r="17" spans="1:6">
      <c r="A17" s="15">
        <v>15</v>
      </c>
      <c r="B17" t="s">
        <v>88</v>
      </c>
      <c r="C17" s="5" t="s">
        <v>69</v>
      </c>
      <c r="D17" s="3">
        <v>511000</v>
      </c>
      <c r="E17" s="5" t="str">
        <f t="shared" si="0"/>
        <v>carioca</v>
      </c>
      <c r="F17" t="str">
        <f t="shared" si="1"/>
        <v>Grande</v>
      </c>
    </row>
    <row r="18" spans="1:6">
      <c r="A18" s="16">
        <v>16</v>
      </c>
      <c r="B18" t="s">
        <v>89</v>
      </c>
      <c r="C18" s="5" t="s">
        <v>69</v>
      </c>
      <c r="D18" s="3">
        <v>506000</v>
      </c>
      <c r="E18" s="5" t="str">
        <f t="shared" si="0"/>
        <v>carioca</v>
      </c>
      <c r="F18" t="str">
        <f t="shared" si="1"/>
        <v>Grande</v>
      </c>
    </row>
    <row r="19" spans="1:6">
      <c r="A19" s="15">
        <v>17</v>
      </c>
      <c r="B19" t="s">
        <v>90</v>
      </c>
      <c r="C19" s="5" t="s">
        <v>67</v>
      </c>
      <c r="D19" s="3">
        <v>480000</v>
      </c>
      <c r="E19" s="5" t="str">
        <f t="shared" si="0"/>
        <v>paulista</v>
      </c>
      <c r="F19" t="str">
        <f t="shared" si="1"/>
        <v>Pequeno</v>
      </c>
    </row>
    <row r="20" spans="1:6">
      <c r="A20" s="16">
        <v>18</v>
      </c>
      <c r="B20" t="s">
        <v>91</v>
      </c>
      <c r="C20" s="5" t="s">
        <v>67</v>
      </c>
      <c r="D20" s="3">
        <v>443000</v>
      </c>
      <c r="E20" s="5" t="str">
        <f t="shared" si="0"/>
        <v>paulista</v>
      </c>
      <c r="F20" t="str">
        <f t="shared" si="1"/>
        <v>Pequeno</v>
      </c>
    </row>
    <row r="21" spans="1:6">
      <c r="A21" s="15">
        <v>19</v>
      </c>
      <c r="B21" t="s">
        <v>92</v>
      </c>
      <c r="C21" s="5" t="s">
        <v>67</v>
      </c>
      <c r="D21" s="3">
        <v>438000</v>
      </c>
      <c r="E21" s="5" t="str">
        <f t="shared" si="0"/>
        <v>paulista</v>
      </c>
      <c r="F21" t="str">
        <f t="shared" si="1"/>
        <v>Pequeno</v>
      </c>
    </row>
    <row r="22" spans="1:6">
      <c r="A22" s="16">
        <v>20</v>
      </c>
      <c r="B22" t="s">
        <v>93</v>
      </c>
      <c r="C22" s="5" t="s">
        <v>67</v>
      </c>
      <c r="D22" s="3">
        <v>433000</v>
      </c>
      <c r="E22" s="5" t="str">
        <f t="shared" si="0"/>
        <v>paulista</v>
      </c>
      <c r="F22" t="str">
        <f t="shared" si="1"/>
        <v>Pequeno</v>
      </c>
    </row>
    <row r="23" spans="1:6">
      <c r="A23" s="15">
        <v>21</v>
      </c>
      <c r="B23" t="s">
        <v>94</v>
      </c>
      <c r="C23" s="5" t="s">
        <v>67</v>
      </c>
      <c r="D23" s="3">
        <v>379000</v>
      </c>
      <c r="E23" s="5" t="str">
        <f t="shared" si="0"/>
        <v>paulista</v>
      </c>
      <c r="F23" t="str">
        <f t="shared" si="1"/>
        <v>Pequeno</v>
      </c>
    </row>
    <row r="24" spans="1:6">
      <c r="A24" s="16">
        <v>22</v>
      </c>
      <c r="B24" t="s">
        <v>95</v>
      </c>
      <c r="C24" s="5" t="s">
        <v>67</v>
      </c>
      <c r="D24" s="3">
        <v>364000</v>
      </c>
      <c r="E24" s="5" t="str">
        <f t="shared" si="0"/>
        <v>paulista</v>
      </c>
      <c r="F24" t="str">
        <f t="shared" si="1"/>
        <v>Pequeno</v>
      </c>
    </row>
    <row r="25" spans="1:6">
      <c r="A25" s="15">
        <v>23</v>
      </c>
      <c r="B25" t="s">
        <v>96</v>
      </c>
      <c r="C25" s="5" t="s">
        <v>67</v>
      </c>
      <c r="D25" s="3">
        <v>323000</v>
      </c>
      <c r="E25" s="5" t="str">
        <f t="shared" si="0"/>
        <v>paulista</v>
      </c>
      <c r="F25" t="str">
        <f t="shared" si="1"/>
        <v>Pequeno</v>
      </c>
    </row>
    <row r="26" spans="1:6">
      <c r="A26" s="16">
        <v>24</v>
      </c>
      <c r="B26" t="s">
        <v>97</v>
      </c>
      <c r="C26" s="5" t="s">
        <v>69</v>
      </c>
      <c r="D26" s="3">
        <v>279000</v>
      </c>
      <c r="E26" s="5" t="str">
        <f t="shared" si="0"/>
        <v>carioca</v>
      </c>
      <c r="F26" t="str">
        <f t="shared" si="1"/>
        <v>Pequeno</v>
      </c>
    </row>
    <row r="27" spans="1:6">
      <c r="A27" s="15">
        <v>25</v>
      </c>
      <c r="B27" t="s">
        <v>98</v>
      </c>
      <c r="C27" s="5" t="s">
        <v>69</v>
      </c>
      <c r="D27" s="3">
        <v>274000</v>
      </c>
      <c r="E27" s="5" t="str">
        <f t="shared" si="0"/>
        <v>carioca</v>
      </c>
      <c r="F27" t="str">
        <f t="shared" si="1"/>
        <v>Pequeno</v>
      </c>
    </row>
    <row r="28" spans="1:6">
      <c r="A28" s="16">
        <v>26</v>
      </c>
      <c r="B28" t="s">
        <v>99</v>
      </c>
      <c r="C28" s="5" t="s">
        <v>69</v>
      </c>
      <c r="D28" s="3">
        <v>266000</v>
      </c>
      <c r="E28" s="5" t="str">
        <f t="shared" si="0"/>
        <v>carioca</v>
      </c>
      <c r="F28" t="str">
        <f t="shared" si="1"/>
        <v>Pequeno</v>
      </c>
    </row>
    <row r="29" spans="1:6">
      <c r="A29" s="15">
        <v>27</v>
      </c>
      <c r="B29" t="s">
        <v>100</v>
      </c>
      <c r="C29" s="5" t="s">
        <v>67</v>
      </c>
      <c r="D29" s="3">
        <v>256000</v>
      </c>
      <c r="E29" s="5" t="str">
        <f t="shared" si="0"/>
        <v>paulista</v>
      </c>
      <c r="F29" t="str">
        <f t="shared" si="1"/>
        <v>Pequeno</v>
      </c>
    </row>
    <row r="30" spans="1:6">
      <c r="A30" s="16">
        <v>28</v>
      </c>
      <c r="B30" t="s">
        <v>101</v>
      </c>
      <c r="C30" s="5" t="s">
        <v>69</v>
      </c>
      <c r="D30" s="3">
        <v>243000</v>
      </c>
      <c r="E30" s="5" t="str">
        <f t="shared" si="0"/>
        <v>carioca</v>
      </c>
      <c r="F30" t="str">
        <f t="shared" si="1"/>
        <v>Pequeno</v>
      </c>
    </row>
    <row r="31" spans="1:6">
      <c r="A31" s="15">
        <v>29</v>
      </c>
      <c r="B31" t="s">
        <v>102</v>
      </c>
      <c r="C31" s="5" t="s">
        <v>67</v>
      </c>
      <c r="D31" s="3">
        <v>240000</v>
      </c>
      <c r="E31" s="5" t="str">
        <f t="shared" si="0"/>
        <v>paulista</v>
      </c>
      <c r="F31" t="str">
        <f t="shared" si="1"/>
        <v>Pequeno</v>
      </c>
    </row>
    <row r="32" spans="1:6">
      <c r="A32" s="16">
        <v>30</v>
      </c>
      <c r="B32" t="s">
        <v>103</v>
      </c>
      <c r="C32" s="5" t="s">
        <v>69</v>
      </c>
      <c r="D32" s="3">
        <v>234000</v>
      </c>
      <c r="E32" s="5" t="str">
        <f t="shared" si="0"/>
        <v>carioca</v>
      </c>
      <c r="F32" t="str">
        <f t="shared" si="1"/>
        <v>Pequeno</v>
      </c>
    </row>
    <row r="33" spans="1:6">
      <c r="A33" s="15">
        <v>31</v>
      </c>
      <c r="B33" t="s">
        <v>104</v>
      </c>
      <c r="C33" s="5" t="s">
        <v>67</v>
      </c>
      <c r="D33" s="3">
        <v>231000</v>
      </c>
      <c r="E33" s="5" t="str">
        <f t="shared" si="0"/>
        <v>paulista</v>
      </c>
      <c r="F33" t="str">
        <f t="shared" si="1"/>
        <v>Pequeno</v>
      </c>
    </row>
    <row r="34" spans="1:6">
      <c r="A34" s="16">
        <v>32</v>
      </c>
      <c r="B34" t="s">
        <v>105</v>
      </c>
      <c r="C34" s="5" t="s">
        <v>69</v>
      </c>
      <c r="D34" s="3">
        <v>223000</v>
      </c>
      <c r="E34" s="5" t="str">
        <f t="shared" si="0"/>
        <v>carioca</v>
      </c>
      <c r="F34" t="str">
        <f t="shared" si="1"/>
        <v>Pequeno</v>
      </c>
    </row>
    <row r="35" spans="1:6">
      <c r="A35" s="15">
        <v>33</v>
      </c>
      <c r="B35" t="s">
        <v>106</v>
      </c>
      <c r="C35" s="5" t="s">
        <v>69</v>
      </c>
      <c r="D35" s="3">
        <v>210000</v>
      </c>
      <c r="E35" s="5" t="str">
        <f t="shared" si="0"/>
        <v>carioca</v>
      </c>
      <c r="F35" t="str">
        <f t="shared" si="1"/>
        <v>Pequeno</v>
      </c>
    </row>
    <row r="36" spans="1:6">
      <c r="A36" s="16">
        <v>34</v>
      </c>
      <c r="B36" t="s">
        <v>107</v>
      </c>
      <c r="C36" s="5" t="s">
        <v>69</v>
      </c>
      <c r="D36" s="3">
        <v>191000</v>
      </c>
      <c r="E36" s="5" t="str">
        <f t="shared" si="0"/>
        <v>carioca</v>
      </c>
      <c r="F36" t="str">
        <f t="shared" si="1"/>
        <v>Pequeno</v>
      </c>
    </row>
    <row r="37" spans="1:6">
      <c r="A37" s="15">
        <v>35</v>
      </c>
      <c r="B37" t="s">
        <v>108</v>
      </c>
      <c r="C37" s="5" t="s">
        <v>69</v>
      </c>
      <c r="D37" s="3">
        <v>185000</v>
      </c>
      <c r="E37" s="5" t="str">
        <f t="shared" si="0"/>
        <v>carioca</v>
      </c>
      <c r="F37" t="str">
        <f t="shared" si="1"/>
        <v>Pequeno</v>
      </c>
    </row>
    <row r="38" spans="1:6">
      <c r="A38" s="16">
        <v>36</v>
      </c>
      <c r="B38" t="s">
        <v>109</v>
      </c>
      <c r="C38" s="5" t="s">
        <v>69</v>
      </c>
      <c r="D38" s="3">
        <v>184000</v>
      </c>
      <c r="E38" s="5" t="str">
        <f t="shared" si="0"/>
        <v>carioca</v>
      </c>
      <c r="F38" t="str">
        <f t="shared" si="1"/>
        <v>Pequeno</v>
      </c>
    </row>
    <row r="39" spans="1:6">
      <c r="A39" s="15">
        <v>37</v>
      </c>
      <c r="B39" t="s">
        <v>110</v>
      </c>
      <c r="C39" s="5" t="s">
        <v>69</v>
      </c>
      <c r="D39" s="3">
        <v>158000</v>
      </c>
      <c r="E39" s="5" t="str">
        <f t="shared" si="0"/>
        <v>carioca</v>
      </c>
      <c r="F39" t="str">
        <f t="shared" si="1"/>
        <v>Pequeno</v>
      </c>
    </row>
    <row r="40" spans="1:6">
      <c r="A40" s="16">
        <v>38</v>
      </c>
      <c r="B40" t="s">
        <v>111</v>
      </c>
      <c r="C40" s="5" t="s">
        <v>69</v>
      </c>
      <c r="D40" s="3">
        <v>153000</v>
      </c>
      <c r="E40" s="5" t="str">
        <f t="shared" si="0"/>
        <v>carioca</v>
      </c>
      <c r="F40" t="str">
        <f t="shared" si="1"/>
        <v>Pequeno</v>
      </c>
    </row>
    <row r="41" spans="1:6">
      <c r="A41" s="15">
        <v>39</v>
      </c>
      <c r="B41" t="s">
        <v>112</v>
      </c>
      <c r="C41" s="5" t="s">
        <v>69</v>
      </c>
      <c r="D41" s="3">
        <v>137000</v>
      </c>
      <c r="E41" s="5" t="str">
        <f t="shared" si="0"/>
        <v>carioca</v>
      </c>
      <c r="F41" t="str">
        <f t="shared" si="1"/>
        <v>Pequeno</v>
      </c>
    </row>
    <row r="42" spans="1:6">
      <c r="A42" s="16">
        <v>40</v>
      </c>
      <c r="B42" t="s">
        <v>113</v>
      </c>
      <c r="C42" s="5" t="s">
        <v>67</v>
      </c>
      <c r="D42" s="3">
        <v>123000</v>
      </c>
      <c r="E42" s="5" t="str">
        <f t="shared" si="0"/>
        <v>paulista</v>
      </c>
      <c r="F42" t="str">
        <f t="shared" si="1"/>
        <v>Pequeno</v>
      </c>
    </row>
  </sheetData>
  <mergeCells count="1">
    <mergeCell ref="A1:C1"/>
  </mergeCells>
  <conditionalFormatting sqref="C1:C1048576">
    <cfRule type="containsText" dxfId="6" priority="5" stopIfTrue="1" operator="containsText" text="sp">
      <formula>NOT(ISERROR(SEARCH("sp",C1)))</formula>
    </cfRule>
  </conditionalFormatting>
  <conditionalFormatting sqref="C1:C1048576">
    <cfRule type="containsText" dxfId="5" priority="4" stopIfTrue="1" operator="containsText" text="rj">
      <formula>NOT(ISERROR(SEARCH("rj",C1)))</formula>
    </cfRule>
  </conditionalFormatting>
  <conditionalFormatting sqref="D3:D4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{01A865B1-F4E8-4BFA-B469-4245BF82CEDA}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A865B1-F4E8-4BFA-B469-4245BF82CE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D3:D42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mateus</cp:lastModifiedBy>
  <cp:revision/>
  <dcterms:created xsi:type="dcterms:W3CDTF">2026-05-20T19:17:56Z</dcterms:created>
  <dcterms:modified xsi:type="dcterms:W3CDTF">2026-05-25T19:47:26Z</dcterms:modified>
  <cp:category/>
  <cp:contentStatus/>
</cp:coreProperties>
</file>