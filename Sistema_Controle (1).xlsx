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_Produtos" sheetId="1" r:id="rId5"/>
    <sheet state="visible" name="Entradas" sheetId="2" r:id="rId6"/>
    <sheet state="visible" name="Saídas" sheetId="3" r:id="rId7"/>
    <sheet state="visible" name="Controle_Estoque" sheetId="4" r:id="rId8"/>
    <sheet state="visible" name="Consulta" sheetId="5" r:id="rId9"/>
    <sheet state="visible" name="Gráficos" sheetId="6" r:id="rId10"/>
  </sheets>
  <definedNames/>
  <calcPr/>
</workbook>
</file>

<file path=xl/sharedStrings.xml><?xml version="1.0" encoding="utf-8"?>
<sst xmlns="http://schemas.openxmlformats.org/spreadsheetml/2006/main" count="87" uniqueCount="56">
  <si>
    <t>Código</t>
  </si>
  <si>
    <t>Nome do produto</t>
  </si>
  <si>
    <t>Valor unitário</t>
  </si>
  <si>
    <t>Estoque mínimo</t>
  </si>
  <si>
    <t>Mouse Gamer</t>
  </si>
  <si>
    <t>Teclado Mecânico</t>
  </si>
  <si>
    <t>Monitor 24</t>
  </si>
  <si>
    <t>Headset</t>
  </si>
  <si>
    <t>Webcam HD</t>
  </si>
  <si>
    <t>SSD 1TB</t>
  </si>
  <si>
    <t>Memória RAM 16GB</t>
  </si>
  <si>
    <t>Fonte 650W</t>
  </si>
  <si>
    <t>Gabinete Gamer</t>
  </si>
  <si>
    <t>Placa de Vídeo RTX</t>
  </si>
  <si>
    <t>Notebook</t>
  </si>
  <si>
    <t>Impressora</t>
  </si>
  <si>
    <t>Switch 8 portas</t>
  </si>
  <si>
    <t>Roteador Wi-Fi</t>
  </si>
  <si>
    <t>HD Externo 2TB</t>
  </si>
  <si>
    <t>Cadeira Gamer</t>
  </si>
  <si>
    <t>Microfone USB</t>
  </si>
  <si>
    <t>Mesa Digitalizadora</t>
  </si>
  <si>
    <t>Adaptador USB</t>
  </si>
  <si>
    <t>Caixa de Som</t>
  </si>
  <si>
    <t>Data</t>
  </si>
  <si>
    <t>Código do produto</t>
  </si>
  <si>
    <t>Quantidade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</si>
  <si>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</si>
  <si>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</si>
  <si>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</si>
  <si>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</si>
  <si>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</si>
  <si>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</si>
  <si>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</si>
  <si>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</si>
  <si>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</si>
  <si>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</si>
  <si>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</si>
  <si>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</si>
  <si>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</si>
  <si>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</si>
  <si>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</si>
  <si>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</si>
  <si>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</si>
  <si>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</si>
  <si>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</si>
  <si>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</si>
  <si>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Produto</t>
  </si>
  <si>
    <t>Total Entradas</t>
  </si>
  <si>
    <t>Total Saídas</t>
  </si>
  <si>
    <t>Estoque Atual</t>
  </si>
  <si>
    <t>Valor Unitário</t>
  </si>
  <si>
    <t>Valor Total</t>
  </si>
  <si>
    <t>Situação</t>
  </si>
  <si>
    <t>Código digitado</t>
  </si>
  <si>
    <t>Estoque atual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</si>
</sst>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2"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Quantidade em Estoque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'Gráficos'!$A$2:$A$21</c:f>
            </c:strRef>
          </c:cat>
          <c:val>
            <c:numRef>
              <c:f>'Gráficos'!$B$2:$B$21</c:f>
              <c:numCache/>
            </c:numRef>
          </c:val>
        </c:ser>
        <c:axId val="1003753323"/>
        <c:axId val="1987030410"/>
      </c:barChart>
      <c:catAx>
        <c:axId val="1003753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87030410"/>
      </c:catAx>
      <c:valAx>
        <c:axId val="1987030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0375332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Valor Total por Produto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'Gráficos'!$C$1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'Gráficos'!$A$2:$A$21</c:f>
            </c:strRef>
          </c:cat>
          <c:val>
            <c:numRef>
              <c:f>'Gráficos'!$C$2:$C$21</c:f>
              <c:numCache/>
            </c:numRef>
          </c:val>
        </c:ser>
        <c:axId val="1421975862"/>
        <c:axId val="1706657977"/>
      </c:barChart>
      <c:catAx>
        <c:axId val="1421975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6657977"/>
      </c:catAx>
      <c:valAx>
        <c:axId val="1706657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2197586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104775</xdr:rowOff>
    </xdr:from>
    <xdr:ext cx="5505450" cy="3676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257175</xdr:colOff>
      <xdr:row>0</xdr:row>
      <xdr:rowOff>152400</xdr:rowOff>
    </xdr:from>
    <xdr:ext cx="6010275" cy="35909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4.0"/>
    <col customWidth="1" min="3" max="4" width="19.0"/>
    <col customWidth="1" min="5" max="6" width="8.75"/>
    <col customWidth="1" min="7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101.0</v>
      </c>
      <c r="B2" s="2" t="s">
        <v>4</v>
      </c>
      <c r="C2" s="3">
        <v>120.0</v>
      </c>
      <c r="D2" s="2">
        <v>5.0</v>
      </c>
    </row>
    <row r="3">
      <c r="A3" s="2">
        <v>102.0</v>
      </c>
      <c r="B3" s="2" t="s">
        <v>5</v>
      </c>
      <c r="C3" s="4">
        <v>250.0</v>
      </c>
      <c r="D3" s="2">
        <v>3.0</v>
      </c>
    </row>
    <row r="4">
      <c r="A4" s="2">
        <v>103.0</v>
      </c>
      <c r="B4" s="2" t="s">
        <v>6</v>
      </c>
      <c r="C4" s="4">
        <v>850.0</v>
      </c>
      <c r="D4" s="2">
        <v>2.0</v>
      </c>
    </row>
    <row r="5">
      <c r="A5" s="2">
        <v>104.0</v>
      </c>
      <c r="B5" s="2" t="s">
        <v>7</v>
      </c>
      <c r="C5" s="4">
        <v>180.0</v>
      </c>
      <c r="D5" s="2">
        <v>4.0</v>
      </c>
    </row>
    <row r="6">
      <c r="A6" s="2">
        <v>105.0</v>
      </c>
      <c r="B6" s="2" t="s">
        <v>8</v>
      </c>
      <c r="C6" s="4">
        <v>220.0</v>
      </c>
      <c r="D6" s="2">
        <v>3.0</v>
      </c>
    </row>
    <row r="7">
      <c r="A7" s="2">
        <v>106.0</v>
      </c>
      <c r="B7" s="2" t="s">
        <v>9</v>
      </c>
      <c r="C7" s="4">
        <v>450.0</v>
      </c>
      <c r="D7" s="2">
        <v>2.0</v>
      </c>
    </row>
    <row r="8">
      <c r="A8" s="2">
        <v>107.0</v>
      </c>
      <c r="B8" s="2" t="s">
        <v>10</v>
      </c>
      <c r="C8" s="4">
        <v>320.0</v>
      </c>
      <c r="D8" s="2">
        <v>3.0</v>
      </c>
    </row>
    <row r="9">
      <c r="A9" s="2">
        <v>108.0</v>
      </c>
      <c r="B9" s="2" t="s">
        <v>11</v>
      </c>
      <c r="C9" s="4">
        <v>390.0</v>
      </c>
      <c r="D9" s="2">
        <v>2.0</v>
      </c>
    </row>
    <row r="10">
      <c r="A10" s="2">
        <v>109.0</v>
      </c>
      <c r="B10" s="2" t="s">
        <v>12</v>
      </c>
      <c r="C10" s="4">
        <v>500.0</v>
      </c>
      <c r="D10" s="2">
        <v>2.0</v>
      </c>
    </row>
    <row r="11">
      <c r="A11" s="2">
        <v>110.0</v>
      </c>
      <c r="B11" s="2" t="s">
        <v>13</v>
      </c>
      <c r="C11" s="4">
        <v>3500.0</v>
      </c>
      <c r="D11" s="2">
        <v>1.0</v>
      </c>
    </row>
    <row r="12">
      <c r="A12" s="2">
        <v>111.0</v>
      </c>
      <c r="B12" s="2" t="s">
        <v>14</v>
      </c>
      <c r="C12" s="4">
        <v>4200.0</v>
      </c>
      <c r="D12" s="2">
        <v>1.0</v>
      </c>
    </row>
    <row r="13">
      <c r="A13" s="2">
        <v>112.0</v>
      </c>
      <c r="B13" s="2" t="s">
        <v>15</v>
      </c>
      <c r="C13" s="4">
        <v>780.0</v>
      </c>
      <c r="D13" s="2">
        <v>2.0</v>
      </c>
    </row>
    <row r="14">
      <c r="A14" s="2">
        <v>113.0</v>
      </c>
      <c r="B14" s="2" t="s">
        <v>16</v>
      </c>
      <c r="C14" s="4">
        <v>240.0</v>
      </c>
      <c r="D14" s="2">
        <v>2.0</v>
      </c>
    </row>
    <row r="15">
      <c r="A15" s="2">
        <v>114.0</v>
      </c>
      <c r="B15" s="2" t="s">
        <v>17</v>
      </c>
      <c r="C15" s="4">
        <v>300.0</v>
      </c>
      <c r="D15" s="2">
        <v>3.0</v>
      </c>
    </row>
    <row r="16">
      <c r="A16" s="2">
        <v>115.0</v>
      </c>
      <c r="B16" s="2" t="s">
        <v>18</v>
      </c>
      <c r="C16" s="4">
        <v>520.0</v>
      </c>
      <c r="D16" s="2">
        <v>2.0</v>
      </c>
    </row>
    <row r="17">
      <c r="A17" s="2">
        <v>116.0</v>
      </c>
      <c r="B17" s="2" t="s">
        <v>19</v>
      </c>
      <c r="C17" s="4">
        <v>950.0</v>
      </c>
      <c r="D17" s="2">
        <v>1.0</v>
      </c>
    </row>
    <row r="18">
      <c r="A18" s="2">
        <v>117.0</v>
      </c>
      <c r="B18" s="2" t="s">
        <v>20</v>
      </c>
      <c r="C18" s="4">
        <v>280.0</v>
      </c>
      <c r="D18" s="2">
        <v>3.0</v>
      </c>
    </row>
    <row r="19">
      <c r="A19" s="2">
        <v>118.0</v>
      </c>
      <c r="B19" s="2" t="s">
        <v>21</v>
      </c>
      <c r="C19" s="4">
        <v>650.0</v>
      </c>
      <c r="D19" s="2">
        <v>2.0</v>
      </c>
    </row>
    <row r="20">
      <c r="A20" s="2">
        <v>119.0</v>
      </c>
      <c r="B20" s="2" t="s">
        <v>22</v>
      </c>
      <c r="C20" s="4">
        <v>60.0</v>
      </c>
      <c r="D20" s="2">
        <v>5.0</v>
      </c>
    </row>
    <row r="21" ht="15.75" customHeight="1">
      <c r="A21" s="2">
        <v>120.0</v>
      </c>
      <c r="B21" s="2" t="s">
        <v>23</v>
      </c>
      <c r="C21" s="4">
        <v>210.0</v>
      </c>
      <c r="D21" s="2">
        <v>4.0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2.0"/>
    <col customWidth="1" min="3" max="3" width="48.0"/>
    <col customWidth="1" min="4" max="4" width="15.0"/>
    <col customWidth="1" min="5" max="6" width="8.75"/>
    <col customWidth="1" min="7" max="26" width="14.38"/>
  </cols>
  <sheetData>
    <row r="1">
      <c r="A1" s="1" t="s">
        <v>24</v>
      </c>
      <c r="B1" s="1" t="s">
        <v>25</v>
      </c>
      <c r="C1" s="1" t="s">
        <v>1</v>
      </c>
      <c r="D1" s="1" t="s">
        <v>26</v>
      </c>
    </row>
    <row r="2">
      <c r="A2" s="2" t="s">
        <v>27</v>
      </c>
      <c r="B2" s="5">
        <v>101.0</v>
      </c>
      <c r="C2" s="2" t="str">
        <f>VLOOKUP(B2,Cadastro_Produtos!A:B,2,FALSE)</f>
        <v>Mouse Gamer</v>
      </c>
      <c r="D2" s="5">
        <v>7.0</v>
      </c>
    </row>
    <row r="3">
      <c r="A3" s="2" t="s">
        <v>28</v>
      </c>
      <c r="B3" s="2">
        <v>102.0</v>
      </c>
      <c r="C3" s="2" t="str">
        <f>VLOOKUP(B3,Cadastro_Produtos!A:B,2,FALSE)</f>
        <v>Teclado Mecânico</v>
      </c>
      <c r="D3" s="2">
        <v>9.0</v>
      </c>
    </row>
    <row r="4">
      <c r="A4" s="2" t="s">
        <v>29</v>
      </c>
      <c r="B4" s="2">
        <v>103.0</v>
      </c>
      <c r="C4" s="2" t="str">
        <f>VLOOKUP(B4,Cadastro_Produtos!A:B,2,FALSE)</f>
        <v>Monitor 24</v>
      </c>
      <c r="D4" s="2">
        <v>6.0</v>
      </c>
    </row>
    <row r="5">
      <c r="A5" s="2" t="s">
        <v>30</v>
      </c>
      <c r="B5" s="2">
        <v>104.0</v>
      </c>
      <c r="C5" s="2" t="str">
        <f>VLOOKUP(B5,Cadastro_Produtos!A:B,2,FALSE)</f>
        <v>Headset</v>
      </c>
      <c r="D5" s="2">
        <v>13.0</v>
      </c>
    </row>
    <row r="6">
      <c r="A6" s="2" t="s">
        <v>31</v>
      </c>
      <c r="B6" s="2">
        <v>105.0</v>
      </c>
      <c r="C6" s="2" t="str">
        <f>VLOOKUP(B6,Cadastro_Produtos!A:B,2,FALSE)</f>
        <v>Webcam HD</v>
      </c>
      <c r="D6" s="2">
        <v>6.0</v>
      </c>
    </row>
    <row r="7">
      <c r="A7" s="2" t="s">
        <v>32</v>
      </c>
      <c r="B7" s="2">
        <v>106.0</v>
      </c>
      <c r="C7" s="2" t="str">
        <f>VLOOKUP(B7,Cadastro_Produtos!A:B,2,FALSE)</f>
        <v>SSD 1TB</v>
      </c>
      <c r="D7" s="2">
        <v>7.0</v>
      </c>
    </row>
    <row r="8">
      <c r="A8" s="2" t="s">
        <v>33</v>
      </c>
      <c r="B8" s="2">
        <v>107.0</v>
      </c>
      <c r="C8" s="2" t="str">
        <f>VLOOKUP(B8,Cadastro_Produtos!A:B,2,FALSE)</f>
        <v>Memória RAM 16GB</v>
      </c>
      <c r="D8" s="2">
        <v>16.0</v>
      </c>
    </row>
    <row r="9">
      <c r="A9" s="2" t="s">
        <v>34</v>
      </c>
      <c r="B9" s="2">
        <v>108.0</v>
      </c>
      <c r="C9" s="2" t="str">
        <f>VLOOKUP(B9,Cadastro_Produtos!A:B,2,FALSE)</f>
        <v>Fonte 650W</v>
      </c>
      <c r="D9" s="2">
        <v>18.0</v>
      </c>
    </row>
    <row r="10">
      <c r="A10" s="2" t="s">
        <v>35</v>
      </c>
      <c r="B10" s="2">
        <v>109.0</v>
      </c>
      <c r="C10" s="2" t="str">
        <f>VLOOKUP(B10,Cadastro_Produtos!A:B,2,FALSE)</f>
        <v>Gabinete Gamer</v>
      </c>
      <c r="D10" s="2">
        <v>9.0</v>
      </c>
    </row>
    <row r="11">
      <c r="A11" s="2" t="s">
        <v>36</v>
      </c>
      <c r="B11" s="2">
        <v>110.0</v>
      </c>
      <c r="C11" s="2" t="str">
        <f>VLOOKUP(B11,Cadastro_Produtos!A:B,2,FALSE)</f>
        <v>Placa de Vídeo RTX</v>
      </c>
      <c r="D11" s="2">
        <v>17.0</v>
      </c>
    </row>
    <row r="12">
      <c r="A12" s="2" t="s">
        <v>37</v>
      </c>
      <c r="B12" s="2">
        <v>111.0</v>
      </c>
      <c r="C12" s="2" t="str">
        <f>VLOOKUP(B12,Cadastro_Produtos!A:B,2,FALSE)</f>
        <v>Notebook</v>
      </c>
      <c r="D12" s="2">
        <v>11.0</v>
      </c>
    </row>
    <row r="13">
      <c r="A13" s="2" t="s">
        <v>38</v>
      </c>
      <c r="B13" s="2">
        <v>112.0</v>
      </c>
      <c r="C13" s="2" t="str">
        <f>VLOOKUP(B13,Cadastro_Produtos!A:B,2,FALSE)</f>
        <v>Impressora</v>
      </c>
      <c r="D13" s="2">
        <v>9.0</v>
      </c>
    </row>
    <row r="14">
      <c r="A14" s="2" t="s">
        <v>39</v>
      </c>
      <c r="B14" s="2">
        <v>113.0</v>
      </c>
      <c r="C14" s="2" t="str">
        <f>VLOOKUP(B14,Cadastro_Produtos!A:B,2,FALSE)</f>
        <v>Switch 8 portas</v>
      </c>
      <c r="D14" s="2">
        <v>5.0</v>
      </c>
    </row>
    <row r="15">
      <c r="A15" s="2" t="s">
        <v>40</v>
      </c>
      <c r="B15" s="2">
        <v>114.0</v>
      </c>
      <c r="C15" s="2" t="str">
        <f>VLOOKUP(B15,Cadastro_Produtos!A:B,2,FALSE)</f>
        <v>Roteador Wi-Fi</v>
      </c>
      <c r="D15" s="5">
        <v>8.0</v>
      </c>
    </row>
    <row r="16">
      <c r="A16" s="2" t="s">
        <v>41</v>
      </c>
      <c r="B16" s="2">
        <v>115.0</v>
      </c>
      <c r="C16" s="2" t="str">
        <f>VLOOKUP(B16,Cadastro_Produtos!A:B,2,FALSE)</f>
        <v>HD Externo 2TB</v>
      </c>
      <c r="D16" s="2">
        <v>15.0</v>
      </c>
    </row>
    <row r="17">
      <c r="A17" s="2" t="s">
        <v>42</v>
      </c>
      <c r="B17" s="2">
        <v>116.0</v>
      </c>
      <c r="C17" s="2" t="str">
        <f>VLOOKUP(B17,Cadastro_Produtos!A:B,2,FALSE)</f>
        <v>Cadeira Gamer</v>
      </c>
      <c r="D17" s="2">
        <v>7.0</v>
      </c>
    </row>
    <row r="18">
      <c r="A18" s="2" t="s">
        <v>43</v>
      </c>
      <c r="B18" s="2">
        <v>117.0</v>
      </c>
      <c r="C18" s="2" t="str">
        <f>VLOOKUP(B18,Cadastro_Produtos!A:B,2,FALSE)</f>
        <v>Microfone USB</v>
      </c>
      <c r="D18" s="2">
        <v>20.0</v>
      </c>
    </row>
    <row r="19">
      <c r="A19" s="2" t="s">
        <v>44</v>
      </c>
      <c r="B19" s="2">
        <v>118.0</v>
      </c>
      <c r="C19" s="2" t="str">
        <f>VLOOKUP(B19,Cadastro_Produtos!A:B,2,FALSE)</f>
        <v>Mesa Digitalizadora</v>
      </c>
      <c r="D19" s="2">
        <v>16.0</v>
      </c>
    </row>
    <row r="20">
      <c r="A20" s="2" t="s">
        <v>45</v>
      </c>
      <c r="B20" s="2">
        <v>119.0</v>
      </c>
      <c r="C20" s="2" t="str">
        <f>VLOOKUP(B20,Cadastro_Produtos!A:B,2,FALSE)</f>
        <v>Adaptador USB</v>
      </c>
      <c r="D20" s="2">
        <v>9.0</v>
      </c>
    </row>
    <row r="21" ht="15.75" customHeight="1">
      <c r="A21" s="2" t="s">
        <v>46</v>
      </c>
      <c r="B21" s="2">
        <v>120.0</v>
      </c>
      <c r="C21" s="2" t="str">
        <f>VLOOKUP(B21,Cadastro_Produtos!A:B,2,FALSE)</f>
        <v>Caixa de Som</v>
      </c>
      <c r="D21" s="2">
        <v>11.0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2.0"/>
    <col customWidth="1" min="3" max="3" width="48.0"/>
    <col customWidth="1" min="4" max="4" width="15.0"/>
    <col customWidth="1" min="5" max="6" width="8.75"/>
    <col customWidth="1" min="7" max="26" width="14.38"/>
  </cols>
  <sheetData>
    <row r="1">
      <c r="A1" s="1" t="s">
        <v>24</v>
      </c>
      <c r="B1" s="1" t="s">
        <v>25</v>
      </c>
      <c r="C1" s="1" t="s">
        <v>1</v>
      </c>
      <c r="D1" s="1" t="s">
        <v>26</v>
      </c>
    </row>
    <row r="2">
      <c r="A2" s="2" t="s">
        <v>27</v>
      </c>
      <c r="B2" s="2">
        <v>101.0</v>
      </c>
      <c r="C2" s="2" t="str">
        <f>VLOOKUP(B2,Cadastro_Produtos!A:B,2,FALSE)</f>
        <v>Mouse Gamer</v>
      </c>
      <c r="D2" s="5">
        <v>3.0</v>
      </c>
    </row>
    <row r="3">
      <c r="A3" s="2" t="s">
        <v>28</v>
      </c>
      <c r="B3" s="2">
        <v>102.0</v>
      </c>
      <c r="C3" s="2" t="str">
        <f>VLOOKUP(B3,Cadastro_Produtos!A:B,2,FALSE)</f>
        <v>Teclado Mecânico</v>
      </c>
      <c r="D3" s="5">
        <v>10.0</v>
      </c>
    </row>
    <row r="4">
      <c r="A4" s="2" t="s">
        <v>29</v>
      </c>
      <c r="B4" s="2">
        <v>103.0</v>
      </c>
      <c r="C4" s="2" t="str">
        <f>VLOOKUP(B4,Cadastro_Produtos!A:B,2,FALSE)</f>
        <v>Monitor 24</v>
      </c>
      <c r="D4" s="5">
        <v>6.0</v>
      </c>
    </row>
    <row r="5">
      <c r="A5" s="2" t="s">
        <v>30</v>
      </c>
      <c r="B5" s="2">
        <v>104.0</v>
      </c>
      <c r="C5" s="2" t="str">
        <f>VLOOKUP(B5,Cadastro_Produtos!A:B,2,FALSE)</f>
        <v>Headset</v>
      </c>
      <c r="D5" s="5">
        <v>12.0</v>
      </c>
    </row>
    <row r="6">
      <c r="A6" s="2" t="s">
        <v>31</v>
      </c>
      <c r="B6" s="2">
        <v>105.0</v>
      </c>
      <c r="C6" s="2" t="str">
        <f>VLOOKUP(B6,Cadastro_Produtos!A:B,2,FALSE)</f>
        <v>Webcam HD</v>
      </c>
      <c r="D6" s="5">
        <v>4.0</v>
      </c>
    </row>
    <row r="7">
      <c r="A7" s="2" t="s">
        <v>32</v>
      </c>
      <c r="B7" s="2">
        <v>106.0</v>
      </c>
      <c r="C7" s="2" t="str">
        <f>VLOOKUP(B7,Cadastro_Produtos!A:B,2,FALSE)</f>
        <v>SSD 1TB</v>
      </c>
      <c r="D7" s="5">
        <v>5.0</v>
      </c>
    </row>
    <row r="8">
      <c r="A8" s="2" t="s">
        <v>33</v>
      </c>
      <c r="B8" s="2">
        <v>107.0</v>
      </c>
      <c r="C8" s="2" t="str">
        <f>VLOOKUP(B8,Cadastro_Produtos!A:B,2,FALSE)</f>
        <v>Memória RAM 16GB</v>
      </c>
      <c r="D8" s="5">
        <v>4.0</v>
      </c>
    </row>
    <row r="9">
      <c r="A9" s="2" t="s">
        <v>34</v>
      </c>
      <c r="B9" s="2">
        <v>108.0</v>
      </c>
      <c r="C9" s="2" t="str">
        <f>VLOOKUP(B9,Cadastro_Produtos!A:B,2,FALSE)</f>
        <v>Fonte 650W</v>
      </c>
      <c r="D9" s="2">
        <v>5.0</v>
      </c>
    </row>
    <row r="10">
      <c r="A10" s="2" t="s">
        <v>35</v>
      </c>
      <c r="B10" s="2">
        <v>109.0</v>
      </c>
      <c r="C10" s="2" t="str">
        <f>VLOOKUP(B10,Cadastro_Produtos!A:B,2,FALSE)</f>
        <v>Gabinete Gamer</v>
      </c>
      <c r="D10" s="2">
        <v>7.0</v>
      </c>
    </row>
    <row r="11">
      <c r="A11" s="2" t="s">
        <v>36</v>
      </c>
      <c r="B11" s="2">
        <v>110.0</v>
      </c>
      <c r="C11" s="2" t="str">
        <f>VLOOKUP(B11,Cadastro_Produtos!A:B,2,FALSE)</f>
        <v>Placa de Vídeo RTX</v>
      </c>
      <c r="D11" s="2">
        <v>4.0</v>
      </c>
    </row>
    <row r="12">
      <c r="A12" s="2" t="s">
        <v>37</v>
      </c>
      <c r="B12" s="2">
        <v>111.0</v>
      </c>
      <c r="C12" s="2" t="str">
        <f>VLOOKUP(B12,Cadastro_Produtos!A:B,2,FALSE)</f>
        <v>Notebook</v>
      </c>
      <c r="D12" s="2">
        <v>9.0</v>
      </c>
    </row>
    <row r="13">
      <c r="A13" s="2" t="s">
        <v>38</v>
      </c>
      <c r="B13" s="2">
        <v>112.0</v>
      </c>
      <c r="C13" s="2" t="str">
        <f>VLOOKUP(B13,Cadastro_Produtos!A:B,2,FALSE)</f>
        <v>Impressora</v>
      </c>
      <c r="D13" s="5">
        <v>8.0</v>
      </c>
    </row>
    <row r="14">
      <c r="A14" s="2" t="s">
        <v>39</v>
      </c>
      <c r="B14" s="2">
        <v>113.0</v>
      </c>
      <c r="C14" s="2" t="str">
        <f>VLOOKUP(B14,Cadastro_Produtos!A:B,2,FALSE)</f>
        <v>Switch 8 portas</v>
      </c>
      <c r="D14" s="2">
        <v>4.0</v>
      </c>
    </row>
    <row r="15">
      <c r="A15" s="2" t="s">
        <v>40</v>
      </c>
      <c r="B15" s="2">
        <v>114.0</v>
      </c>
      <c r="C15" s="2" t="str">
        <f>VLOOKUP(B15,Cadastro_Produtos!A:B,2,FALSE)</f>
        <v>Roteador Wi-Fi</v>
      </c>
      <c r="D15" s="5">
        <v>2.0</v>
      </c>
    </row>
    <row r="16">
      <c r="A16" s="2" t="s">
        <v>41</v>
      </c>
      <c r="B16" s="2">
        <v>115.0</v>
      </c>
      <c r="C16" s="2" t="str">
        <f>VLOOKUP(B16,Cadastro_Produtos!A:B,2,FALSE)</f>
        <v>HD Externo 2TB</v>
      </c>
      <c r="D16" s="2">
        <v>8.0</v>
      </c>
    </row>
    <row r="17">
      <c r="A17" s="2" t="s">
        <v>42</v>
      </c>
      <c r="B17" s="2">
        <v>116.0</v>
      </c>
      <c r="C17" s="2" t="str">
        <f>VLOOKUP(B17,Cadastro_Produtos!A:B,2,FALSE)</f>
        <v>Cadeira Gamer</v>
      </c>
      <c r="D17" s="5">
        <v>4.0</v>
      </c>
    </row>
    <row r="18">
      <c r="A18" s="2" t="s">
        <v>43</v>
      </c>
      <c r="B18" s="2">
        <v>117.0</v>
      </c>
      <c r="C18" s="2" t="str">
        <f>VLOOKUP(B18,Cadastro_Produtos!A:B,2,FALSE)</f>
        <v>Microfone USB</v>
      </c>
      <c r="D18" s="2">
        <v>8.0</v>
      </c>
    </row>
    <row r="19">
      <c r="A19" s="2" t="s">
        <v>44</v>
      </c>
      <c r="B19" s="2">
        <v>118.0</v>
      </c>
      <c r="C19" s="2" t="str">
        <f>VLOOKUP(B19,Cadastro_Produtos!A:B,2,FALSE)</f>
        <v>Mesa Digitalizadora</v>
      </c>
      <c r="D19" s="2">
        <v>5.0</v>
      </c>
    </row>
    <row r="20">
      <c r="A20" s="2" t="s">
        <v>45</v>
      </c>
      <c r="B20" s="2">
        <v>119.0</v>
      </c>
      <c r="C20" s="2" t="str">
        <f>VLOOKUP(B20,Cadastro_Produtos!A:B,2,FALSE)</f>
        <v>Adaptador USB</v>
      </c>
      <c r="D20" s="2">
        <v>4.0</v>
      </c>
    </row>
    <row r="21" ht="15.75" customHeight="1">
      <c r="A21" s="2" t="s">
        <v>46</v>
      </c>
      <c r="B21" s="2">
        <v>120.0</v>
      </c>
      <c r="C21" s="2" t="str">
        <f>VLOOKUP(B21,Cadastro_Produtos!A:B,2,FALSE)</f>
        <v>Caixa de Som</v>
      </c>
      <c r="D21" s="5">
        <v>2.0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6.25"/>
    <col customWidth="1" min="3" max="3" width="20.5"/>
    <col customWidth="1" min="4" max="4" width="23.75"/>
    <col customWidth="1" min="5" max="5" width="18.0"/>
    <col customWidth="1" min="6" max="6" width="24.88"/>
    <col customWidth="1" min="7" max="7" width="16.0"/>
    <col customWidth="1" min="8" max="8" width="21.13"/>
    <col customWidth="1" min="9" max="26" width="14.38"/>
  </cols>
  <sheetData>
    <row r="1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>
      <c r="A2" s="2">
        <v>101.0</v>
      </c>
      <c r="B2" s="2" t="str">
        <f>VLOOKUP(A2,Cadastro_Produtos!A:B,2,FALSE)</f>
        <v>Mouse Gamer</v>
      </c>
      <c r="C2" s="2">
        <f>SUMIF(Entradas!B:B,A2,Entradas!D:D)</f>
        <v>7</v>
      </c>
      <c r="D2" s="2">
        <f>SUMIF('Saídas'!B:B,A2,'Saídas'!D:D)</f>
        <v>3</v>
      </c>
      <c r="E2" s="2">
        <f t="shared" ref="E2:E21" si="1">C2-D2</f>
        <v>4</v>
      </c>
      <c r="F2" s="4">
        <f>VLOOKUP(A2,Cadastro_Produtos!A:C,3,FALSE)</f>
        <v>120</v>
      </c>
      <c r="G2" s="4">
        <f t="shared" ref="G2:G21" si="2">E2*F2</f>
        <v>480</v>
      </c>
      <c r="H2" s="6" t="str">
        <f>IF(E2&lt;VLOOKUP(A2,Cadastro_Produtos!A:D,4,FALSE),"Estoque Baixo","Estoque OK")</f>
        <v>Estoque Baixo</v>
      </c>
    </row>
    <row r="3">
      <c r="A3" s="2">
        <v>102.0</v>
      </c>
      <c r="B3" s="2" t="str">
        <f>VLOOKUP(A3,Cadastro_Produtos!A:B,2,FALSE)</f>
        <v>Teclado Mecânico</v>
      </c>
      <c r="C3" s="2">
        <f>SUMIF(Entradas!B:B,A3,Entradas!D:D)</f>
        <v>9</v>
      </c>
      <c r="D3" s="2">
        <f>SUMIF('Saídas'!B:B,A3,'Saídas'!D:D)</f>
        <v>10</v>
      </c>
      <c r="E3" s="2">
        <f t="shared" si="1"/>
        <v>-1</v>
      </c>
      <c r="F3" s="4">
        <f>VLOOKUP(A3,Cadastro_Produtos!A:C,3,FALSE)</f>
        <v>250</v>
      </c>
      <c r="G3" s="4">
        <f t="shared" si="2"/>
        <v>-250</v>
      </c>
      <c r="H3" s="6" t="str">
        <f>IF(E3&lt;VLOOKUP(A3,Cadastro_Produtos!A:D,4,FALSE),"Estoque Baixo","Estoque OK")</f>
        <v>Estoque Baixo</v>
      </c>
    </row>
    <row r="4">
      <c r="A4" s="2">
        <v>103.0</v>
      </c>
      <c r="B4" s="2" t="str">
        <f>VLOOKUP(A4,Cadastro_Produtos!A:B,2,FALSE)</f>
        <v>Monitor 24</v>
      </c>
      <c r="C4" s="2">
        <f>SUMIF(Entradas!B:B,A4,Entradas!D:D)</f>
        <v>6</v>
      </c>
      <c r="D4" s="2">
        <f>SUMIF('Saídas'!B:B,A4,'Saídas'!D:D)</f>
        <v>6</v>
      </c>
      <c r="E4" s="2">
        <f t="shared" si="1"/>
        <v>0</v>
      </c>
      <c r="F4" s="4">
        <f>VLOOKUP(A4,Cadastro_Produtos!A:C,3,FALSE)</f>
        <v>850</v>
      </c>
      <c r="G4" s="4">
        <f t="shared" si="2"/>
        <v>0</v>
      </c>
      <c r="H4" s="6" t="str">
        <f>IF(E4&lt;VLOOKUP(A4,Cadastro_Produtos!A:D,4,FALSE),"Estoque Baixo","Estoque OK")</f>
        <v>Estoque Baixo</v>
      </c>
    </row>
    <row r="5">
      <c r="A5" s="2">
        <v>104.0</v>
      </c>
      <c r="B5" s="2" t="str">
        <f>VLOOKUP(A5,Cadastro_Produtos!A:B,2,FALSE)</f>
        <v>Headset</v>
      </c>
      <c r="C5" s="2">
        <f>SUMIF(Entradas!B:B,A5,Entradas!D:D)</f>
        <v>13</v>
      </c>
      <c r="D5" s="2">
        <f>SUMIF('Saídas'!B:B,A5,'Saídas'!D:D)</f>
        <v>12</v>
      </c>
      <c r="E5" s="2">
        <f t="shared" si="1"/>
        <v>1</v>
      </c>
      <c r="F5" s="4">
        <f>VLOOKUP(A5,Cadastro_Produtos!A:C,3,FALSE)</f>
        <v>180</v>
      </c>
      <c r="G5" s="4">
        <f t="shared" si="2"/>
        <v>180</v>
      </c>
      <c r="H5" s="6" t="str">
        <f>IF(E5&lt;VLOOKUP(A5,Cadastro_Produtos!A:D,4,FALSE),"Estoque Baixo","Estoque OK")</f>
        <v>Estoque Baixo</v>
      </c>
    </row>
    <row r="6">
      <c r="A6" s="2">
        <v>105.0</v>
      </c>
      <c r="B6" s="2" t="str">
        <f>VLOOKUP(A6,Cadastro_Produtos!A:B,2,FALSE)</f>
        <v>Webcam HD</v>
      </c>
      <c r="C6" s="2">
        <f>SUMIF(Entradas!B:B,A6,Entradas!D:D)</f>
        <v>6</v>
      </c>
      <c r="D6" s="2">
        <f>SUMIF('Saídas'!B:B,A6,'Saídas'!D:D)</f>
        <v>4</v>
      </c>
      <c r="E6" s="2">
        <f t="shared" si="1"/>
        <v>2</v>
      </c>
      <c r="F6" s="4">
        <f>VLOOKUP(A6,Cadastro_Produtos!A:C,3,FALSE)</f>
        <v>220</v>
      </c>
      <c r="G6" s="4">
        <f t="shared" si="2"/>
        <v>440</v>
      </c>
      <c r="H6" s="6" t="str">
        <f>IF(E6&lt;VLOOKUP(A6,Cadastro_Produtos!A:D,4,FALSE),"Estoque Baixo","Estoque OK")</f>
        <v>Estoque Baixo</v>
      </c>
    </row>
    <row r="7">
      <c r="A7" s="2">
        <v>106.0</v>
      </c>
      <c r="B7" s="2" t="str">
        <f>VLOOKUP(A7,Cadastro_Produtos!A:B,2,FALSE)</f>
        <v>SSD 1TB</v>
      </c>
      <c r="C7" s="2">
        <f>SUMIF(Entradas!B:B,A7,Entradas!D:D)</f>
        <v>7</v>
      </c>
      <c r="D7" s="2">
        <f>SUMIF('Saídas'!B:B,A7,'Saídas'!D:D)</f>
        <v>5</v>
      </c>
      <c r="E7" s="2">
        <f t="shared" si="1"/>
        <v>2</v>
      </c>
      <c r="F7" s="4">
        <f>VLOOKUP(A7,Cadastro_Produtos!A:C,3,FALSE)</f>
        <v>450</v>
      </c>
      <c r="G7" s="4">
        <f t="shared" si="2"/>
        <v>900</v>
      </c>
      <c r="H7" s="6" t="str">
        <f>IF(E7&lt;VLOOKUP(A7,Cadastro_Produtos!A:D,4,FALSE),"Estoque Baixo","Estoque OK")</f>
        <v>Estoque OK</v>
      </c>
    </row>
    <row r="8">
      <c r="A8" s="2">
        <v>107.0</v>
      </c>
      <c r="B8" s="2" t="str">
        <f>VLOOKUP(A8,Cadastro_Produtos!A:B,2,FALSE)</f>
        <v>Memória RAM 16GB</v>
      </c>
      <c r="C8" s="2">
        <f>SUMIF(Entradas!B:B,A8,Entradas!D:D)</f>
        <v>16</v>
      </c>
      <c r="D8" s="2">
        <f>SUMIF('Saídas'!B:B,A8,'Saídas'!D:D)</f>
        <v>4</v>
      </c>
      <c r="E8" s="2">
        <f t="shared" si="1"/>
        <v>12</v>
      </c>
      <c r="F8" s="4">
        <f>VLOOKUP(A8,Cadastro_Produtos!A:C,3,FALSE)</f>
        <v>320</v>
      </c>
      <c r="G8" s="4">
        <f t="shared" si="2"/>
        <v>3840</v>
      </c>
      <c r="H8" s="6" t="str">
        <f>IF(E8&lt;VLOOKUP(A8,Cadastro_Produtos!A:D,4,FALSE),"Estoque Baixo","Estoque OK")</f>
        <v>Estoque OK</v>
      </c>
    </row>
    <row r="9">
      <c r="A9" s="2">
        <v>108.0</v>
      </c>
      <c r="B9" s="2" t="str">
        <f>VLOOKUP(A9,Cadastro_Produtos!A:B,2,FALSE)</f>
        <v>Fonte 650W</v>
      </c>
      <c r="C9" s="2">
        <f>SUMIF(Entradas!B:B,A9,Entradas!D:D)</f>
        <v>18</v>
      </c>
      <c r="D9" s="2">
        <f>SUMIF('Saídas'!B:B,A9,'Saídas'!D:D)</f>
        <v>5</v>
      </c>
      <c r="E9" s="2">
        <f t="shared" si="1"/>
        <v>13</v>
      </c>
      <c r="F9" s="4">
        <f>VLOOKUP(A9,Cadastro_Produtos!A:C,3,FALSE)</f>
        <v>390</v>
      </c>
      <c r="G9" s="4">
        <f t="shared" si="2"/>
        <v>5070</v>
      </c>
      <c r="H9" s="6" t="str">
        <f>IF(E9&lt;VLOOKUP(A9,Cadastro_Produtos!A:D,4,FALSE),"Estoque Baixo","Estoque OK")</f>
        <v>Estoque OK</v>
      </c>
    </row>
    <row r="10">
      <c r="A10" s="2">
        <v>109.0</v>
      </c>
      <c r="B10" s="2" t="str">
        <f>VLOOKUP(A10,Cadastro_Produtos!A:B,2,FALSE)</f>
        <v>Gabinete Gamer</v>
      </c>
      <c r="C10" s="2">
        <f>SUMIF(Entradas!B:B,A10,Entradas!D:D)</f>
        <v>9</v>
      </c>
      <c r="D10" s="2">
        <f>SUMIF('Saídas'!B:B,A10,'Saídas'!D:D)</f>
        <v>7</v>
      </c>
      <c r="E10" s="2">
        <f t="shared" si="1"/>
        <v>2</v>
      </c>
      <c r="F10" s="4">
        <f>VLOOKUP(A10,Cadastro_Produtos!A:C,3,FALSE)</f>
        <v>500</v>
      </c>
      <c r="G10" s="4">
        <f t="shared" si="2"/>
        <v>1000</v>
      </c>
      <c r="H10" s="6" t="str">
        <f>IF(E10&lt;VLOOKUP(A10,Cadastro_Produtos!A:D,4,FALSE),"Estoque Baixo","Estoque OK")</f>
        <v>Estoque OK</v>
      </c>
    </row>
    <row r="11">
      <c r="A11" s="2">
        <v>110.0</v>
      </c>
      <c r="B11" s="2" t="str">
        <f>VLOOKUP(A11,Cadastro_Produtos!A:B,2,FALSE)</f>
        <v>Placa de Vídeo RTX</v>
      </c>
      <c r="C11" s="2">
        <f>SUMIF(Entradas!B:B,A11,Entradas!D:D)</f>
        <v>17</v>
      </c>
      <c r="D11" s="2">
        <f>SUMIF('Saídas'!B:B,A11,'Saídas'!D:D)</f>
        <v>4</v>
      </c>
      <c r="E11" s="2">
        <f t="shared" si="1"/>
        <v>13</v>
      </c>
      <c r="F11" s="4">
        <f>VLOOKUP(A11,Cadastro_Produtos!A:C,3,FALSE)</f>
        <v>3500</v>
      </c>
      <c r="G11" s="4">
        <f t="shared" si="2"/>
        <v>45500</v>
      </c>
      <c r="H11" s="6" t="str">
        <f>IF(E11&lt;VLOOKUP(A11,Cadastro_Produtos!A:D,4,FALSE),"Estoque Baixo","Estoque OK")</f>
        <v>Estoque OK</v>
      </c>
    </row>
    <row r="12">
      <c r="A12" s="2">
        <v>111.0</v>
      </c>
      <c r="B12" s="2" t="str">
        <f>VLOOKUP(A12,Cadastro_Produtos!A:B,2,FALSE)</f>
        <v>Notebook</v>
      </c>
      <c r="C12" s="2">
        <f>SUMIF(Entradas!B:B,A12,Entradas!D:D)</f>
        <v>11</v>
      </c>
      <c r="D12" s="2">
        <f>SUMIF('Saídas'!B:B,A12,'Saídas'!D:D)</f>
        <v>9</v>
      </c>
      <c r="E12" s="2">
        <f t="shared" si="1"/>
        <v>2</v>
      </c>
      <c r="F12" s="4">
        <f>VLOOKUP(A12,Cadastro_Produtos!A:C,3,FALSE)</f>
        <v>4200</v>
      </c>
      <c r="G12" s="4">
        <f t="shared" si="2"/>
        <v>8400</v>
      </c>
      <c r="H12" s="6" t="str">
        <f>IF(E12&lt;VLOOKUP(A12,Cadastro_Produtos!A:D,4,FALSE),"Estoque Baixo","Estoque OK")</f>
        <v>Estoque OK</v>
      </c>
    </row>
    <row r="13">
      <c r="A13" s="2">
        <v>112.0</v>
      </c>
      <c r="B13" s="2" t="str">
        <f>VLOOKUP(A13,Cadastro_Produtos!A:B,2,FALSE)</f>
        <v>Impressora</v>
      </c>
      <c r="C13" s="2">
        <f>SUMIF(Entradas!B:B,A13,Entradas!D:D)</f>
        <v>9</v>
      </c>
      <c r="D13" s="2">
        <f>SUMIF('Saídas'!B:B,A13,'Saídas'!D:D)</f>
        <v>8</v>
      </c>
      <c r="E13" s="2">
        <f t="shared" si="1"/>
        <v>1</v>
      </c>
      <c r="F13" s="4">
        <f>VLOOKUP(A13,Cadastro_Produtos!A:C,3,FALSE)</f>
        <v>780</v>
      </c>
      <c r="G13" s="4">
        <f t="shared" si="2"/>
        <v>780</v>
      </c>
      <c r="H13" s="6" t="str">
        <f>IF(E13&lt;VLOOKUP(A13,Cadastro_Produtos!A:D,4,FALSE),"Estoque Baixo","Estoque OK")</f>
        <v>Estoque Baixo</v>
      </c>
    </row>
    <row r="14">
      <c r="A14" s="2">
        <v>113.0</v>
      </c>
      <c r="B14" s="2" t="str">
        <f>VLOOKUP(A14,Cadastro_Produtos!A:B,2,FALSE)</f>
        <v>Switch 8 portas</v>
      </c>
      <c r="C14" s="2">
        <f>SUMIF(Entradas!B:B,A14,Entradas!D:D)</f>
        <v>5</v>
      </c>
      <c r="D14" s="2">
        <f>SUMIF('Saídas'!B:B,A14,'Saídas'!D:D)</f>
        <v>4</v>
      </c>
      <c r="E14" s="2">
        <f t="shared" si="1"/>
        <v>1</v>
      </c>
      <c r="F14" s="4">
        <f>VLOOKUP(A14,Cadastro_Produtos!A:C,3,FALSE)</f>
        <v>240</v>
      </c>
      <c r="G14" s="4">
        <f t="shared" si="2"/>
        <v>240</v>
      </c>
      <c r="H14" s="6" t="str">
        <f>IF(E14&lt;VLOOKUP(A14,Cadastro_Produtos!A:D,4,FALSE),"Estoque Baixo","Estoque OK")</f>
        <v>Estoque Baixo</v>
      </c>
    </row>
    <row r="15">
      <c r="A15" s="2">
        <v>114.0</v>
      </c>
      <c r="B15" s="2" t="str">
        <f>VLOOKUP(A15,Cadastro_Produtos!A:B,2,FALSE)</f>
        <v>Roteador Wi-Fi</v>
      </c>
      <c r="C15" s="2">
        <f>SUMIF(Entradas!B:B,A15,Entradas!D:D)</f>
        <v>8</v>
      </c>
      <c r="D15" s="2">
        <f>SUMIF('Saídas'!B:B,A15,'Saídas'!D:D)</f>
        <v>2</v>
      </c>
      <c r="E15" s="2">
        <f t="shared" si="1"/>
        <v>6</v>
      </c>
      <c r="F15" s="4">
        <f>VLOOKUP(A15,Cadastro_Produtos!A:C,3,FALSE)</f>
        <v>300</v>
      </c>
      <c r="G15" s="4">
        <f t="shared" si="2"/>
        <v>1800</v>
      </c>
      <c r="H15" s="6" t="str">
        <f>IF(E15&lt;VLOOKUP(A15,Cadastro_Produtos!A:D,4,FALSE),"Estoque Baixo","Estoque OK")</f>
        <v>Estoque OK</v>
      </c>
    </row>
    <row r="16">
      <c r="A16" s="2">
        <v>115.0</v>
      </c>
      <c r="B16" s="2" t="str">
        <f>VLOOKUP(A16,Cadastro_Produtos!A:B,2,FALSE)</f>
        <v>HD Externo 2TB</v>
      </c>
      <c r="C16" s="2">
        <f>SUMIF(Entradas!B:B,A16,Entradas!D:D)</f>
        <v>15</v>
      </c>
      <c r="D16" s="2">
        <f>SUMIF('Saídas'!B:B,A16,'Saídas'!D:D)</f>
        <v>8</v>
      </c>
      <c r="E16" s="2">
        <f t="shared" si="1"/>
        <v>7</v>
      </c>
      <c r="F16" s="4">
        <f>VLOOKUP(A16,Cadastro_Produtos!A:C,3,FALSE)</f>
        <v>520</v>
      </c>
      <c r="G16" s="4">
        <f t="shared" si="2"/>
        <v>3640</v>
      </c>
      <c r="H16" s="6" t="str">
        <f>IF(E16&lt;VLOOKUP(A16,Cadastro_Produtos!A:D,4,FALSE),"Estoque Baixo","Estoque OK")</f>
        <v>Estoque OK</v>
      </c>
    </row>
    <row r="17">
      <c r="A17" s="2">
        <v>116.0</v>
      </c>
      <c r="B17" s="2" t="str">
        <f>VLOOKUP(A17,Cadastro_Produtos!A:B,2,FALSE)</f>
        <v>Cadeira Gamer</v>
      </c>
      <c r="C17" s="2">
        <f>SUMIF(Entradas!B:B,A17,Entradas!D:D)</f>
        <v>7</v>
      </c>
      <c r="D17" s="2">
        <f>SUMIF('Saídas'!B:B,A17,'Saídas'!D:D)</f>
        <v>4</v>
      </c>
      <c r="E17" s="2">
        <f t="shared" si="1"/>
        <v>3</v>
      </c>
      <c r="F17" s="4">
        <f>VLOOKUP(A17,Cadastro_Produtos!A:C,3,FALSE)</f>
        <v>950</v>
      </c>
      <c r="G17" s="4">
        <f t="shared" si="2"/>
        <v>2850</v>
      </c>
      <c r="H17" s="6" t="str">
        <f>IF(E17&lt;VLOOKUP(A17,Cadastro_Produtos!A:D,4,FALSE),"Estoque Baixo","Estoque OK")</f>
        <v>Estoque OK</v>
      </c>
    </row>
    <row r="18">
      <c r="A18" s="2">
        <v>117.0</v>
      </c>
      <c r="B18" s="2" t="str">
        <f>VLOOKUP(A18,Cadastro_Produtos!A:B,2,FALSE)</f>
        <v>Microfone USB</v>
      </c>
      <c r="C18" s="2">
        <f>SUMIF(Entradas!B:B,A18,Entradas!D:D)</f>
        <v>20</v>
      </c>
      <c r="D18" s="2">
        <f>SUMIF('Saídas'!B:B,A18,'Saídas'!D:D)</f>
        <v>8</v>
      </c>
      <c r="E18" s="2">
        <f t="shared" si="1"/>
        <v>12</v>
      </c>
      <c r="F18" s="4">
        <f>VLOOKUP(A18,Cadastro_Produtos!A:C,3,FALSE)</f>
        <v>280</v>
      </c>
      <c r="G18" s="4">
        <f t="shared" si="2"/>
        <v>3360</v>
      </c>
      <c r="H18" s="6" t="str">
        <f>IF(E18&lt;VLOOKUP(A18,Cadastro_Produtos!A:D,4,FALSE),"Estoque Baixo","Estoque OK")</f>
        <v>Estoque OK</v>
      </c>
    </row>
    <row r="19">
      <c r="A19" s="2">
        <v>118.0</v>
      </c>
      <c r="B19" s="2" t="str">
        <f>VLOOKUP(A19,Cadastro_Produtos!A:B,2,FALSE)</f>
        <v>Mesa Digitalizadora</v>
      </c>
      <c r="C19" s="2">
        <f>SUMIF(Entradas!B:B,A19,Entradas!D:D)</f>
        <v>16</v>
      </c>
      <c r="D19" s="2">
        <f>SUMIF('Saídas'!B:B,A19,'Saídas'!D:D)</f>
        <v>5</v>
      </c>
      <c r="E19" s="2">
        <f t="shared" si="1"/>
        <v>11</v>
      </c>
      <c r="F19" s="4">
        <f>VLOOKUP(A19,Cadastro_Produtos!A:C,3,FALSE)</f>
        <v>650</v>
      </c>
      <c r="G19" s="4">
        <f t="shared" si="2"/>
        <v>7150</v>
      </c>
      <c r="H19" s="6" t="str">
        <f>IF(E19&lt;VLOOKUP(A19,Cadastro_Produtos!A:D,4,FALSE),"Estoque Baixo","Estoque OK")</f>
        <v>Estoque OK</v>
      </c>
    </row>
    <row r="20">
      <c r="A20" s="2">
        <v>119.0</v>
      </c>
      <c r="B20" s="2" t="str">
        <f>VLOOKUP(A20,Cadastro_Produtos!A:B,2,FALSE)</f>
        <v>Adaptador USB</v>
      </c>
      <c r="C20" s="2">
        <f>SUMIF(Entradas!B:B,A20,Entradas!D:D)</f>
        <v>9</v>
      </c>
      <c r="D20" s="2">
        <f>SUMIF('Saídas'!B:B,A20,'Saídas'!D:D)</f>
        <v>4</v>
      </c>
      <c r="E20" s="2">
        <f t="shared" si="1"/>
        <v>5</v>
      </c>
      <c r="F20" s="4">
        <f>VLOOKUP(A20,Cadastro_Produtos!A:C,3,FALSE)</f>
        <v>60</v>
      </c>
      <c r="G20" s="4">
        <f t="shared" si="2"/>
        <v>300</v>
      </c>
      <c r="H20" s="6" t="str">
        <f>IF(E20&lt;VLOOKUP(A20,Cadastro_Produtos!A:D,4,FALSE),"Estoque Baixo","Estoque OK")</f>
        <v>Estoque OK</v>
      </c>
    </row>
    <row r="21" ht="15.75" customHeight="1">
      <c r="A21" s="2">
        <v>120.0</v>
      </c>
      <c r="B21" s="2" t="str">
        <f>VLOOKUP(A21,Cadastro_Produtos!A:B,2,FALSE)</f>
        <v>Caixa de Som</v>
      </c>
      <c r="C21" s="2">
        <f>SUMIF(Entradas!B:B,A21,Entradas!D:D)</f>
        <v>11</v>
      </c>
      <c r="D21" s="2">
        <f>SUMIF('Saídas'!B:B,A21,'Saídas'!D:D)</f>
        <v>2</v>
      </c>
      <c r="E21" s="2">
        <f t="shared" si="1"/>
        <v>9</v>
      </c>
      <c r="F21" s="4">
        <f>VLOOKUP(A21,Cadastro_Produtos!A:C,3,FALSE)</f>
        <v>210</v>
      </c>
      <c r="G21" s="4">
        <f t="shared" si="2"/>
        <v>1890</v>
      </c>
      <c r="H21" s="6" t="str">
        <f>IF(E21&lt;VLOOKUP(A21,Cadastro_Produtos!A:D,4,FALSE),"Estoque Baixo","Estoque OK")</f>
        <v>Estoque OK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21">
    <cfRule type="containsText" dxfId="0" priority="1" operator="containsText" text="Estoque baixo">
      <formula>NOT(ISERROR(SEARCH(("Estoque baixo"),(H2))))</formula>
    </cfRule>
  </conditionalFormatting>
  <conditionalFormatting sqref="H2:H21">
    <cfRule type="containsText" dxfId="1" priority="2" operator="containsText" text="Estoque Ok">
      <formula>NOT(ISERROR(SEARCH(("Estoque Ok"),(H2))))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7.25"/>
    <col customWidth="1" min="3" max="3" width="26.38"/>
    <col customWidth="1" min="4" max="4" width="25.5"/>
    <col customWidth="1" min="5" max="6" width="8.75"/>
    <col customWidth="1" min="7" max="26" width="14.38"/>
  </cols>
  <sheetData>
    <row r="1">
      <c r="A1" s="7" t="s">
        <v>54</v>
      </c>
      <c r="B1" s="7" t="s">
        <v>1</v>
      </c>
      <c r="C1" s="7" t="s">
        <v>55</v>
      </c>
      <c r="D1" s="7" t="s">
        <v>2</v>
      </c>
    </row>
    <row r="2">
      <c r="A2" s="8">
        <v>103.0</v>
      </c>
      <c r="B2" s="9" t="str">
        <f>IFERROR(VLOOKUP(A2,Controle_Estoque!A:B,2,FALSE),"Não encontrado")</f>
        <v>Monitor 24</v>
      </c>
      <c r="C2" s="9">
        <f>IFERROR(VLOOKUP(A2,Controle_Estoque!A:E,5,FALSE),"Não encontrado")</f>
        <v>0</v>
      </c>
      <c r="D2" s="10">
        <f>IFERROR(VLOOKUP(A2,Controle_Estoque!A:F,6,FALSE),"Não encontrado")</f>
        <v>850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9.75"/>
    <col customWidth="1" min="3" max="3" width="21.0"/>
    <col customWidth="1" min="4" max="6" width="8.75"/>
    <col customWidth="1" min="7" max="26" width="14.38"/>
  </cols>
  <sheetData>
    <row r="1">
      <c r="A1" s="11" t="s">
        <v>47</v>
      </c>
      <c r="B1" s="11" t="s">
        <v>50</v>
      </c>
      <c r="C1" s="11" t="s">
        <v>52</v>
      </c>
    </row>
    <row r="2">
      <c r="A2" s="2" t="str">
        <f>Controle_Estoque!B2</f>
        <v>Mouse Gamer</v>
      </c>
      <c r="B2" s="2">
        <f>Controle_Estoque!E2</f>
        <v>4</v>
      </c>
      <c r="C2" s="4">
        <f>Controle_Estoque!G2</f>
        <v>480</v>
      </c>
    </row>
    <row r="3">
      <c r="A3" s="2" t="str">
        <f>Controle_Estoque!B3</f>
        <v>Teclado Mecânico</v>
      </c>
      <c r="B3" s="2">
        <f>Controle_Estoque!E3</f>
        <v>-1</v>
      </c>
      <c r="C3" s="4">
        <f>Controle_Estoque!G3</f>
        <v>-250</v>
      </c>
    </row>
    <row r="4">
      <c r="A4" s="2" t="str">
        <f>Controle_Estoque!B4</f>
        <v>Monitor 24</v>
      </c>
      <c r="B4" s="2">
        <f>Controle_Estoque!E4</f>
        <v>0</v>
      </c>
      <c r="C4" s="4">
        <f>Controle_Estoque!G4</f>
        <v>0</v>
      </c>
    </row>
    <row r="5">
      <c r="A5" s="2" t="str">
        <f>Controle_Estoque!B5</f>
        <v>Headset</v>
      </c>
      <c r="B5" s="2">
        <f>Controle_Estoque!E5</f>
        <v>1</v>
      </c>
      <c r="C5" s="4">
        <f>Controle_Estoque!G5</f>
        <v>180</v>
      </c>
    </row>
    <row r="6">
      <c r="A6" s="2" t="str">
        <f>Controle_Estoque!B6</f>
        <v>Webcam HD</v>
      </c>
      <c r="B6" s="2">
        <f>Controle_Estoque!E6</f>
        <v>2</v>
      </c>
      <c r="C6" s="4">
        <f>Controle_Estoque!G6</f>
        <v>440</v>
      </c>
    </row>
    <row r="7">
      <c r="A7" s="2" t="str">
        <f>Controle_Estoque!B7</f>
        <v>SSD 1TB</v>
      </c>
      <c r="B7" s="2">
        <f>Controle_Estoque!E7</f>
        <v>2</v>
      </c>
      <c r="C7" s="4">
        <f>Controle_Estoque!G7</f>
        <v>900</v>
      </c>
    </row>
    <row r="8">
      <c r="A8" s="2" t="str">
        <f>Controle_Estoque!B8</f>
        <v>Memória RAM 16GB</v>
      </c>
      <c r="B8" s="2">
        <f>Controle_Estoque!E8</f>
        <v>12</v>
      </c>
      <c r="C8" s="4">
        <f>Controle_Estoque!G8</f>
        <v>3840</v>
      </c>
    </row>
    <row r="9">
      <c r="A9" s="2" t="str">
        <f>Controle_Estoque!B9</f>
        <v>Fonte 650W</v>
      </c>
      <c r="B9" s="2">
        <f>Controle_Estoque!E9</f>
        <v>13</v>
      </c>
      <c r="C9" s="4">
        <f>Controle_Estoque!G9</f>
        <v>5070</v>
      </c>
    </row>
    <row r="10">
      <c r="A10" s="2" t="str">
        <f>Controle_Estoque!B10</f>
        <v>Gabinete Gamer</v>
      </c>
      <c r="B10" s="2">
        <f>Controle_Estoque!E10</f>
        <v>2</v>
      </c>
      <c r="C10" s="4">
        <f>Controle_Estoque!G10</f>
        <v>1000</v>
      </c>
    </row>
    <row r="11">
      <c r="A11" s="2" t="str">
        <f>Controle_Estoque!B11</f>
        <v>Placa de Vídeo RTX</v>
      </c>
      <c r="B11" s="2">
        <f>Controle_Estoque!E11</f>
        <v>13</v>
      </c>
      <c r="C11" s="4">
        <f>Controle_Estoque!G11</f>
        <v>45500</v>
      </c>
    </row>
    <row r="12">
      <c r="A12" s="2" t="str">
        <f>Controle_Estoque!B12</f>
        <v>Notebook</v>
      </c>
      <c r="B12" s="2">
        <f>Controle_Estoque!E12</f>
        <v>2</v>
      </c>
      <c r="C12" s="4">
        <f>Controle_Estoque!G12</f>
        <v>8400</v>
      </c>
    </row>
    <row r="13">
      <c r="A13" s="2" t="str">
        <f>Controle_Estoque!B13</f>
        <v>Impressora</v>
      </c>
      <c r="B13" s="2">
        <f>Controle_Estoque!E13</f>
        <v>1</v>
      </c>
      <c r="C13" s="4">
        <f>Controle_Estoque!G13</f>
        <v>780</v>
      </c>
    </row>
    <row r="14">
      <c r="A14" s="2" t="str">
        <f>Controle_Estoque!B14</f>
        <v>Switch 8 portas</v>
      </c>
      <c r="B14" s="2">
        <f>Controle_Estoque!E14</f>
        <v>1</v>
      </c>
      <c r="C14" s="4">
        <f>Controle_Estoque!G14</f>
        <v>240</v>
      </c>
    </row>
    <row r="15">
      <c r="A15" s="2" t="str">
        <f>Controle_Estoque!B15</f>
        <v>Roteador Wi-Fi</v>
      </c>
      <c r="B15" s="2">
        <f>Controle_Estoque!E15</f>
        <v>6</v>
      </c>
      <c r="C15" s="4">
        <f>Controle_Estoque!G15</f>
        <v>1800</v>
      </c>
    </row>
    <row r="16">
      <c r="A16" s="2" t="str">
        <f>Controle_Estoque!B16</f>
        <v>HD Externo 2TB</v>
      </c>
      <c r="B16" s="2">
        <f>Controle_Estoque!E16</f>
        <v>7</v>
      </c>
      <c r="C16" s="4">
        <f>Controle_Estoque!G16</f>
        <v>3640</v>
      </c>
    </row>
    <row r="17">
      <c r="A17" s="2" t="str">
        <f>Controle_Estoque!B17</f>
        <v>Cadeira Gamer</v>
      </c>
      <c r="B17" s="2">
        <f>Controle_Estoque!E17</f>
        <v>3</v>
      </c>
      <c r="C17" s="4">
        <f>Controle_Estoque!G17</f>
        <v>2850</v>
      </c>
    </row>
    <row r="18">
      <c r="A18" s="2" t="str">
        <f>Controle_Estoque!B18</f>
        <v>Microfone USB</v>
      </c>
      <c r="B18" s="2">
        <f>Controle_Estoque!E18</f>
        <v>12</v>
      </c>
      <c r="C18" s="4">
        <f>Controle_Estoque!G18</f>
        <v>3360</v>
      </c>
    </row>
    <row r="19">
      <c r="A19" s="2" t="str">
        <f>Controle_Estoque!B19</f>
        <v>Mesa Digitalizadora</v>
      </c>
      <c r="B19" s="2">
        <f>Controle_Estoque!E19</f>
        <v>11</v>
      </c>
      <c r="C19" s="4">
        <f>Controle_Estoque!G19</f>
        <v>7150</v>
      </c>
    </row>
    <row r="20">
      <c r="A20" s="2" t="str">
        <f>Controle_Estoque!B20</f>
        <v>Adaptador USB</v>
      </c>
      <c r="B20" s="2">
        <f>Controle_Estoque!E20</f>
        <v>5</v>
      </c>
      <c r="C20" s="4">
        <f>Controle_Estoque!G20</f>
        <v>300</v>
      </c>
    </row>
    <row r="21" ht="15.75" customHeight="1">
      <c r="A21" s="2" t="str">
        <f>Controle_Estoque!B21</f>
        <v>Caixa de Som</v>
      </c>
      <c r="B21" s="2">
        <f>Controle_Estoque!E21</f>
        <v>9</v>
      </c>
      <c r="C21" s="4">
        <f>Controle_Estoque!G21</f>
        <v>1890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